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5E17F555-608C-4C11-97EF-5CB9FA33EC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'舰船数据-改造'!$A$1:$AC$205</definedName>
    <definedName name="_xlnm._FilterDatabase" localSheetId="3" hidden="1">'舰船数据-深海'!$A$1:$AC$216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97" i="6" l="1"/>
  <c r="R137" i="6"/>
  <c r="R187" i="1"/>
  <c r="R184" i="1"/>
  <c r="R110" i="1"/>
  <c r="R194" i="1"/>
  <c r="R202" i="1"/>
  <c r="R204" i="1"/>
  <c r="R136" i="6"/>
  <c r="R135" i="6"/>
  <c r="R138" i="6"/>
  <c r="R139" i="6" l="1"/>
  <c r="V106" i="2"/>
  <c r="R211" i="1"/>
  <c r="R210" i="1"/>
  <c r="R208" i="1"/>
  <c r="R206" i="1"/>
  <c r="R199" i="1"/>
  <c r="R167" i="1"/>
  <c r="R161" i="1"/>
  <c r="R159" i="1"/>
  <c r="R155" i="1"/>
  <c r="R153" i="1"/>
  <c r="R134" i="6"/>
  <c r="R133" i="6"/>
  <c r="R132" i="6"/>
  <c r="R131" i="6"/>
  <c r="R130" i="6"/>
  <c r="R44" i="6"/>
  <c r="R20" i="6"/>
  <c r="R19" i="6"/>
  <c r="V164" i="2"/>
  <c r="V163" i="2"/>
  <c r="V162" i="2"/>
  <c r="V161" i="2"/>
  <c r="V160" i="2"/>
  <c r="V159" i="2"/>
  <c r="V158" i="2"/>
  <c r="R147" i="1" l="1"/>
  <c r="R176" i="1"/>
  <c r="R197" i="1"/>
  <c r="R45" i="6"/>
  <c r="R129" i="6"/>
  <c r="V155" i="2"/>
  <c r="V151" i="2"/>
  <c r="V152" i="2"/>
  <c r="V153" i="2"/>
  <c r="V154" i="2"/>
  <c r="V156" i="2"/>
  <c r="V157" i="2"/>
  <c r="R132" i="1" l="1"/>
  <c r="R209" i="1"/>
  <c r="R201" i="1"/>
  <c r="R47" i="6"/>
  <c r="R27" i="6" l="1"/>
  <c r="R128" i="6"/>
  <c r="R175" i="1"/>
  <c r="R179" i="1"/>
  <c r="R207" i="1"/>
  <c r="R51" i="6"/>
  <c r="R17" i="6"/>
  <c r="R48" i="1"/>
  <c r="R47" i="1"/>
  <c r="R193" i="1"/>
  <c r="R190" i="1"/>
  <c r="R203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0" i="2"/>
  <c r="V149" i="2"/>
  <c r="V148" i="2"/>
  <c r="V147" i="2"/>
  <c r="V146" i="2"/>
  <c r="V145" i="2"/>
  <c r="V144" i="2"/>
  <c r="R172" i="1"/>
  <c r="R191" i="1"/>
  <c r="R149" i="1"/>
  <c r="R127" i="6"/>
  <c r="R124" i="6"/>
  <c r="V101" i="2"/>
  <c r="V100" i="2"/>
  <c r="V99" i="2"/>
  <c r="R192" i="1" l="1"/>
  <c r="R160" i="1"/>
  <c r="R126" i="6"/>
  <c r="R120" i="6"/>
  <c r="R119" i="6"/>
  <c r="R125" i="6"/>
  <c r="R42" i="1" l="1"/>
  <c r="R41" i="1"/>
  <c r="R49" i="6"/>
  <c r="R118" i="6" l="1"/>
  <c r="R123" i="6"/>
  <c r="R205" i="1"/>
  <c r="R150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3" i="2"/>
  <c r="V142" i="2"/>
  <c r="V141" i="2"/>
  <c r="V140" i="2"/>
  <c r="V139" i="2"/>
  <c r="V138" i="2"/>
  <c r="R113" i="6"/>
  <c r="R200" i="1" l="1"/>
  <c r="R122" i="6"/>
  <c r="R121" i="6"/>
  <c r="R112" i="6"/>
  <c r="R116" i="6"/>
  <c r="R117" i="6"/>
  <c r="R198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7" i="2"/>
  <c r="V136" i="2"/>
  <c r="V135" i="2"/>
  <c r="V134" i="2"/>
  <c r="V133" i="2"/>
  <c r="V132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1" i="2" l="1"/>
  <c r="V130" i="2"/>
  <c r="V129" i="2"/>
  <c r="V128" i="2"/>
  <c r="R40" i="1" l="1"/>
  <c r="R39" i="1"/>
  <c r="R66" i="6"/>
  <c r="R129" i="1"/>
  <c r="R130" i="1"/>
  <c r="R131" i="1"/>
  <c r="R165" i="1"/>
  <c r="R166" i="1"/>
  <c r="R168" i="1"/>
  <c r="R182" i="1"/>
  <c r="R188" i="1"/>
  <c r="R133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5" i="1"/>
  <c r="R46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8" i="1"/>
  <c r="R151" i="1"/>
  <c r="R152" i="1"/>
  <c r="R154" i="1"/>
  <c r="R156" i="1"/>
  <c r="R157" i="1"/>
  <c r="R158" i="1"/>
  <c r="R162" i="1"/>
  <c r="R163" i="1"/>
  <c r="R164" i="1"/>
  <c r="R169" i="1"/>
  <c r="R170" i="1"/>
  <c r="R171" i="1"/>
  <c r="R173" i="1"/>
  <c r="R174" i="1"/>
  <c r="R177" i="1"/>
  <c r="R178" i="1"/>
  <c r="R180" i="1"/>
  <c r="R181" i="1"/>
  <c r="R183" i="1"/>
  <c r="R185" i="1"/>
  <c r="R186" i="1"/>
  <c r="R189" i="1"/>
  <c r="R195" i="1"/>
  <c r="R196" i="1"/>
  <c r="R2" i="1"/>
  <c r="R98" i="6"/>
  <c r="V124" i="2"/>
  <c r="V125" i="2"/>
  <c r="V126" i="2"/>
  <c r="V127" i="2"/>
  <c r="V123" i="2"/>
  <c r="V122" i="2"/>
  <c r="V2" i="2" l="1"/>
  <c r="V118" i="2"/>
  <c r="V119" i="2"/>
  <c r="V120" i="2"/>
  <c r="V121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7" i="2"/>
  <c r="V108" i="2"/>
  <c r="V109" i="2"/>
  <c r="V110" i="2"/>
  <c r="V111" i="2"/>
  <c r="V112" i="2"/>
  <c r="V113" i="2"/>
  <c r="V114" i="2"/>
  <c r="V115" i="2"/>
  <c r="V116" i="2"/>
  <c r="V117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<sst xmlns="http://schemas.openxmlformats.org/spreadsheetml/2006/main" count="15894" uniqueCount="2737">
  <si>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</si>
  <si>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</si>
  <si>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</si>
  <si>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</si>
  <si>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</si>
  <si>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</si>
  <si>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</si>
  <si>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</si>
  <si>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</si>
  <si>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</si>
  <si>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</si>
  <si>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</si>
  <si>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</si>
  <si>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</si>
  <si>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</si>
  <si>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</si>
  <si>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</si>
  <si>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</si>
  <si>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</si>
  <si>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</si>
  <si>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</si>
  <si>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</si>
  <si>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</si>
  <si>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</si>
  <si>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</si>
  <si>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</si>
  <si>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</si>
  <si>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</si>
  <si>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</si>
  <si>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</si>
  <si>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</si>
  <si>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</si>
  <si>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</si>
  <si>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</si>
  <si>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</si>
  <si>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</si>
  <si>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</si>
  <si>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</si>
  <si>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</si>
  <si>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</si>
  <si>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</si>
  <si>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</si>
  <si>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</si>
  <si>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</si>
  <si>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</si>
  <si>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</si>
  <si>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</si>
  <si>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</si>
  <si>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</si>
  <si>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</si>
  <si>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</si>
  <si>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</si>
  <si>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</si>
  <si>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</si>
  <si>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</si>
  <si>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</si>
  <si>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</si>
  <si>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</si>
  <si>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</si>
  <si>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</si>
  <si>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</si>
  <si>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</si>
  <si>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</si>
  <si>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</si>
  <si>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</si>
  <si>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</si>
  <si>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</si>
  <si>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</si>
  <si>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</si>
  <si>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</si>
  <si>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</si>
  <si>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</si>
  <si>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</si>
  <si>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</si>
  <si>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</si>
  <si>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</si>
  <si>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</si>
  <si>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</si>
  <si>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</si>
  <si>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</si>
  <si>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</si>
  <si>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</si>
  <si>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</si>
  <si>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</si>
  <si>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</si>
  <si>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</si>
  <si>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</si>
  <si>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</si>
  <si>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</si>
  <si>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</si>
  <si>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</si>
  <si>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</si>
  <si>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</si>
  <si>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</si>
  <si>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</si>
  <si>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</si>
  <si>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</si>
  <si>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</si>
  <si>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</si>
  <si>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</si>
  <si>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</si>
  <si>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</si>
  <si>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</si>
  <si>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</si>
  <si>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</si>
  <si>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</si>
  <si>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</si>
  <si>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</si>
  <si>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</si>
  <si>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</si>
  <si>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</si>
  <si>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</si>
  <si>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</si>
  <si>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</si>
  <si>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</si>
  <si>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</si>
  <si>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</si>
  <si>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</si>
  <si>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</si>
  <si>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</si>
  <si>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</si>
  <si>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</si>
  <si>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</si>
  <si>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</si>
  <si>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</si>
  <si>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</si>
  <si>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</si>
  <si>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</si>
  <si>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</si>
  <si>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</si>
  <si>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</si>
  <si>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</si>
  <si>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</si>
  <si>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</si>
  <si>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</si>
  <si>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</si>
  <si>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</si>
  <si>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</si>
  <si>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</si>
  <si>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</si>
  <si>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</si>
  <si>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</si>
  <si>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</si>
  <si>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</si>
  <si>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</si>
  <si>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</si>
  <si>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</si>
  <si>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</si>
  <si>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</si>
  <si>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</si>
  <si>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</si>
  <si>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</si>
  <si>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</si>
  <si>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</si>
  <si>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</si>
  <si>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</si>
  <si>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</si>
  <si>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</si>
  <si>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</si>
  <si>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</si>
  <si>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</si>
  <si>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</si>
  <si>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</si>
  <si>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</si>
  <si>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</si>
  <si>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</si>
  <si>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</si>
  <si>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</si>
  <si>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</si>
  <si>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</si>
  <si>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</si>
  <si>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</si>
  <si>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</si>
  <si>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</si>
  <si>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</si>
  <si>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</si>
  <si>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</si>
  <si>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</si>
  <si>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</si>
  <si>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</si>
  <si>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</si>
  <si>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</si>
  <si>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</si>
  <si>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</si>
  <si>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</si>
  <si>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</si>
  <si>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</si>
  <si>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</si>
  <si>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</si>
  <si>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</si>
  <si>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</si>
  <si>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</si>
  <si>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</si>
  <si>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</si>
  <si>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</si>
  <si>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</si>
  <si>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</si>
  <si>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</si>
  <si>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</si>
  <si>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</si>
  <si>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</si>
  <si>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</si>
  <si>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</si>
  <si>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</si>
  <si>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</si>
  <si>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</si>
  <si>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</si>
  <si>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</si>
  <si>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</si>
  <si>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</si>
  <si>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</si>
  <si>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</si>
  <si>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</si>
  <si>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</si>
  <si>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</si>
  <si>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</si>
  <si>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</si>
  <si>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</si>
  <si>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</si>
  <si>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</si>
  <si>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</si>
  <si>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</si>
  <si>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</si>
  <si>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</si>
  <si>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</si>
  <si>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</si>
  <si>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</si>
  <si>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</si>
  <si>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</si>
  <si>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</si>
  <si>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</si>
  <si>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</si>
  <si>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</si>
  <si>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</si>
  <si>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</si>
  <si>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</si>
  <si>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</si>
  <si>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</si>
  <si>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</si>
  <si>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</si>
  <si>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</si>
  <si>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</si>
  <si>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</si>
  <si>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</si>
  <si>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</si>
  <si>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</si>
  <si>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</si>
  <si>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</si>
  <si>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</si>
  <si>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</si>
  <si>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</si>
  <si>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</si>
  <si>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</si>
  <si>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</si>
  <si>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</si>
  <si>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</si>
  <si>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</si>
  <si>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</si>
  <si>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</si>
  <si>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</si>
  <si>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</si>
  <si>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</si>
  <si>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</si>
  <si>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</si>
  <si>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</si>
  <si>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</si>
  <si>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</si>
  <si>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</si>
  <si>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</si>
  <si>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</si>
  <si>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</si>
  <si>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</si>
  <si>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</si>
  <si>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</si>
  <si>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</si>
  <si>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</si>
  <si>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</si>
  <si>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</si>
  <si>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</si>
  <si>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</si>
  <si>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</si>
  <si>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</si>
  <si>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</si>
  <si>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</si>
  <si>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</si>
  <si>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</si>
  <si>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</si>
  <si>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</si>
  <si>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</si>
  <si>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</si>
  <si>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</si>
  <si>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</si>
  <si>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</si>
  <si>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</si>
  <si>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</si>
  <si>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</si>
  <si>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</si>
  <si>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</si>
  <si>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</si>
  <si>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</si>
  <si>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</si>
  <si>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</si>
  <si>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</si>
  <si>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</si>
  <si>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</si>
  <si>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</si>
  <si>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</si>
  <si>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</si>
  <si>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</si>
  <si>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</si>
  <si>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</si>
  <si>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</si>
  <si>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</si>
  <si>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</si>
  <si>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</si>
  <si>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</si>
  <si>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</si>
  <si>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</si>
  <si>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</si>
  <si>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</si>
  <si>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</si>
  <si>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</si>
  <si>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</si>
  <si>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</si>
  <si>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</si>
  <si>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</si>
  <si>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</si>
  <si>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</si>
  <si>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</si>
  <si>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</si>
  <si>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</si>
  <si>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</si>
  <si>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</si>
  <si>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</si>
  <si>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</si>
  <si>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</si>
  <si>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</si>
  <si>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</si>
  <si>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</si>
  <si>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</si>
  <si>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</si>
  <si>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</si>
  <si>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</si>
  <si>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</si>
  <si>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</si>
  <si>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</si>
  <si>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</si>
  <si>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</si>
  <si>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</si>
  <si>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</si>
  <si>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</si>
  <si>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</si>
  <si>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</si>
  <si>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</si>
  <si>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</si>
  <si>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</si>
  <si>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</si>
  <si>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</si>
  <si>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</si>
  <si>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</si>
  <si>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</si>
  <si>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</si>
  <si>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</si>
  <si>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</si>
  <si>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</si>
  <si>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</si>
  <si>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</si>
  <si>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</si>
  <si>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</si>
  <si>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</si>
  <si>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</si>
  <si>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</si>
  <si>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</si>
  <si>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</si>
  <si>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</si>
  <si>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</si>
  <si>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</si>
  <si>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</si>
  <si>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</si>
  <si>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</si>
  <si>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</si>
  <si>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</si>
  <si>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</si>
  <si>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</si>
  <si>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</si>
  <si>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</si>
  <si>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</si>
  <si>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</si>
  <si>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</si>
  <si>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</si>
  <si>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</si>
  <si>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</si>
  <si>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</si>
  <si>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</si>
  <si>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</si>
  <si>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</si>
  <si>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</si>
  <si>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</si>
  <si>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</si>
  <si>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</si>
  <si>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</si>
  <si>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</si>
  <si>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</si>
  <si>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</si>
  <si>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</si>
  <si>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</si>
  <si>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</si>
  <si>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</si>
  <si>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</si>
  <si>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</si>
  <si>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</si>
  <si>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</si>
  <si>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</si>
  <si>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</si>
  <si>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</si>
  <si>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</si>
  <si>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</si>
  <si>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</si>
  <si>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</si>
  <si>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</si>
  <si>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</si>
  <si>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</si>
  <si>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</si>
  <si>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</si>
  <si>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</si>
  <si>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</si>
  <si>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</si>
  <si>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</si>
  <si>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</si>
  <si>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</si>
  <si>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</si>
  <si>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</si>
  <si>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</si>
  <si>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</si>
  <si>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</si>
  <si>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</si>
  <si>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</si>
  <si>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</si>
  <si>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</si>
  <si>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</si>
  <si>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</si>
  <si>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</si>
  <si>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</si>
  <si>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</si>
  <si>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</si>
  <si>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</si>
  <si>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</si>
  <si>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</si>
  <si>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</si>
  <si>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</si>
  <si>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</si>
  <si>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</si>
  <si>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</si>
  <si>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</si>
  <si>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</si>
  <si>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</si>
  <si>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</si>
  <si>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</si>
  <si>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</si>
  <si>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</si>
  <si>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</si>
  <si>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</si>
  <si>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</si>
  <si>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</si>
  <si>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</si>
  <si>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</si>
  <si>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</si>
  <si>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</si>
  <si>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</si>
  <si>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</si>
  <si>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</si>
  <si>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</si>
  <si>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</si>
  <si>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</si>
  <si>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</si>
  <si>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</si>
  <si>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</si>
  <si>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</si>
  <si>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</si>
  <si>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</si>
  <si>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</si>
  <si>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</si>
  <si>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</si>
  <si>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</si>
  <si>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</si>
  <si>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</si>
  <si>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</si>
  <si>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</si>
  <si>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</si>
  <si>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</si>
  <si>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</si>
  <si>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</si>
  <si>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</si>
  <si>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</si>
  <si>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</si>
  <si>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</si>
  <si>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</si>
  <si>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</si>
  <si>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</si>
  <si>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</si>
  <si>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</si>
  <si>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</si>
  <si>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</si>
  <si>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</si>
  <si>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</si>
  <si>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</si>
  <si>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</si>
  <si>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</si>
  <si>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</si>
  <si>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</si>
  <si>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</si>
  <si>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</si>
  <si>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</si>
  <si>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</si>
  <si>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</si>
  <si>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</si>
  <si>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</si>
  <si>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</si>
  <si>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</si>
  <si>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</si>
  <si>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</si>
  <si>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</si>
  <si>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</si>
  <si>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</si>
  <si>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</si>
  <si>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</si>
  <si>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</si>
  <si>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</si>
  <si>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</si>
  <si>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</si>
  <si>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</si>
  <si>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</si>
  <si>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</si>
  <si>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</si>
  <si>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</si>
  <si>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</si>
  <si>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</si>
  <si>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</si>
  <si>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</si>
  <si>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</si>
  <si>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</si>
  <si>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</si>
  <si>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</si>
  <si>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</si>
  <si>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</si>
  <si>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</si>
  <si>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</si>
  <si>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</si>
  <si>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</si>
  <si>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</si>
  <si>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</si>
  <si>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</si>
  <si>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</si>
  <si>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</si>
  <si>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</si>
  <si>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</si>
  <si>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</si>
  <si>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</si>
  <si>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</si>
  <si>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</si>
  <si>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</si>
  <si>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</si>
  <si>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</si>
  <si>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</si>
  <si>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</si>
  <si>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</si>
  <si>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</si>
  <si>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</si>
  <si>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</si>
  <si>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</si>
  <si>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</si>
  <si>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</si>
  <si>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</si>
  <si>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</si>
  <si>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</si>
  <si>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</si>
  <si>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</si>
  <si>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</si>
  <si>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</si>
  <si>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</si>
  <si>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</si>
  <si>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</si>
  <si>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</si>
  <si>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</si>
  <si>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</si>
  <si>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</si>
  <si>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</si>
  <si>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</si>
  <si>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</si>
  <si>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</si>
  <si>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</si>
  <si>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</si>
  <si>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</si>
  <si>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</si>
  <si>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</si>
  <si>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</si>
  <si>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</si>
  <si>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</si>
  <si>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</si>
  <si>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</si>
  <si>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</si>
  <si>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</si>
  <si>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</si>
  <si>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</si>
  <si>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</si>
  <si>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</si>
  <si>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</si>
  <si>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</si>
  <si>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</si>
  <si>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</si>
  <si>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</si>
  <si>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</si>
  <si>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</si>
  <si>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</si>
  <si>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</si>
  <si>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</si>
  <si>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</si>
  <si>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</si>
  <si>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</si>
  <si>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</si>
  <si>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</si>
  <si>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</si>
  <si>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</si>
  <si>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</si>
  <si>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</si>
  <si>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</si>
  <si>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</si>
  <si>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</si>
  <si>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</si>
  <si>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</si>
  <si>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</si>
  <si>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</si>
  <si>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</si>
  <si>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</si>
  <si>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</si>
  <si>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</si>
  <si>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</si>
  <si>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</si>
  <si>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</si>
  <si>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</si>
  <si>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</si>
  <si>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</si>
  <si>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</si>
  <si>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</si>
  <si>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</si>
  <si>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</si>
  <si>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</si>
  <si>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</si>
  <si>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</si>
  <si>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</si>
  <si>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</si>
  <si>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</si>
  <si>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</si>
  <si>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</si>
  <si>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</si>
  <si>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</si>
  <si>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</si>
  <si>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</si>
  <si>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</si>
  <si>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</si>
  <si>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</si>
  <si>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</si>
  <si>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</si>
  <si>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</si>
  <si>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</si>
  <si>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</si>
  <si>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</si>
  <si>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</si>
  <si>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</si>
  <si>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</si>
  <si>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</si>
  <si>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</si>
  <si>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</si>
  <si>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</si>
  <si>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</si>
  <si>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</si>
  <si>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</si>
  <si>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</si>
  <si>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</si>
  <si>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</si>
  <si>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</si>
  <si>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</si>
  <si>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</si>
  <si>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</si>
  <si>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</si>
  <si>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</si>
  <si>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</si>
  <si>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</si>
  <si>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</si>
  <si>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</si>
  <si>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</si>
  <si>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</si>
  <si>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</si>
  <si>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</si>
  <si>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</si>
  <si>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</si>
  <si>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</si>
  <si>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</si>
  <si>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</si>
  <si>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</si>
  <si>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</si>
  <si>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</si>
  <si>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</si>
  <si>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</si>
  <si>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</si>
  <si>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</si>
  <si>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</si>
  <si>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</si>
  <si>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</si>
  <si>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</si>
  <si>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</si>
  <si>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</si>
  <si>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</si>
  <si>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</si>
  <si>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</si>
  <si>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</si>
  <si>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</si>
  <si>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</si>
  <si>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</si>
  <si>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</si>
  <si>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</si>
  <si>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</si>
  <si>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</si>
  <si>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</si>
  <si>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</si>
  <si>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</si>
  <si>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</si>
  <si>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</si>
  <si>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</si>
  <si>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</si>
  <si>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</si>
  <si>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</si>
  <si>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</si>
  <si>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</si>
  <si>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</si>
  <si>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</si>
  <si>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</si>
  <si>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</si>
  <si>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</si>
  <si>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</si>
  <si>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</si>
  <si>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</si>
  <si>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</si>
  <si>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</si>
  <si>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</si>
  <si>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</si>
  <si>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</si>
  <si>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</si>
  <si>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</si>
  <si>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</si>
  <si>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</si>
  <si>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</si>
  <si>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</si>
  <si>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</si>
  <si>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</si>
  <si>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</si>
  <si>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</si>
  <si>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</si>
  <si>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</si>
  <si>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</si>
  <si>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</si>
  <si>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</si>
  <si>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</si>
  <si>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</si>
  <si>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</si>
  <si>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</si>
  <si>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</si>
  <si>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</si>
  <si>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</si>
  <si>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</si>
  <si>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</si>
  <si>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</si>
  <si>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</si>
  <si>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</si>
  <si>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</si>
  <si>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</si>
  <si>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</si>
  <si>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</si>
  <si>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</si>
  <si>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</si>
  <si>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</si>
  <si>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</si>
  <si>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</si>
  <si>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</si>
  <si>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</si>
  <si>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</si>
  <si>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</si>
  <si>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</si>
  <si>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</si>
  <si>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</si>
  <si>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</si>
  <si>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</si>
  <si>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</si>
  <si>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</si>
  <si>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</si>
  <si>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</si>
  <si>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</si>
  <si>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</si>
  <si>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</si>
  <si>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</si>
  <si>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</si>
  <si>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</si>
  <si>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</si>
  <si>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</si>
  <si>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</si>
  <si>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</si>
  <si>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</si>
  <si>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</si>
  <si>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</si>
  <si>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</si>
  <si>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</si>
  <si>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</si>
  <si>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</si>
  <si>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</si>
  <si>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</si>
  <si>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</si>
  <si>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</si>
  <si>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</si>
  <si>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</si>
  <si>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</si>
  <si>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</si>
  <si>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</si>
  <si>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</si>
  <si>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</si>
  <si>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</si>
  <si>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</si>
  <si>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</si>
  <si>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</si>
  <si>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</si>
  <si>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</si>
  <si>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</si>
  <si>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</si>
  <si>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</si>
  <si>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</si>
  <si>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</si>
  <si>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</si>
  <si>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</si>
  <si>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</si>
  <si>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</si>
  <si>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</si>
  <si>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</si>
  <si>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</si>
  <si>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</si>
  <si>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</si>
  <si>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</si>
  <si>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</si>
  <si>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</si>
  <si>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</si>
  <si>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</si>
  <si>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</si>
  <si>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</si>
  <si>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</si>
  <si>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</si>
  <si>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</si>
  <si>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</si>
  <si>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</si>
  <si>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</si>
  <si>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</si>
  <si>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</si>
  <si>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</si>
  <si>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</si>
  <si>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</si>
  <si>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</si>
  <si>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</si>
  <si>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</si>
  <si>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</si>
  <si>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</si>
  <si>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</si>
  <si>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</si>
  <si>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</si>
  <si>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</si>
  <si>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</si>
  <si>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</si>
  <si>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</si>
  <si>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</si>
  <si>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</si>
  <si>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</si>
  <si>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</si>
  <si>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</si>
  <si>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</si>
  <si>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</si>
  <si>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</si>
  <si>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</si>
  <si>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</si>
  <si>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</si>
  <si>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</si>
  <si>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</si>
  <si>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</si>
  <si>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</si>
  <si>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</si>
  <si>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</si>
  <si>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</si>
  <si>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</si>
  <si>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</si>
  <si>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</si>
  <si>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</si>
  <si>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</si>
  <si>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</si>
  <si>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</si>
  <si>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</si>
  <si>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</si>
  <si>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</si>
  <si>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</si>
  <si>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</si>
  <si>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</si>
  <si>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</si>
  <si>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</si>
  <si>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</si>
  <si>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</si>
  <si>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</si>
  <si>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</si>
  <si>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</si>
  <si>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</si>
  <si>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</si>
  <si>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</si>
  <si>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</si>
  <si>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</si>
  <si>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</si>
  <si>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</si>
  <si>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</si>
  <si>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</si>
  <si>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</si>
  <si>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</si>
  <si>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</si>
  <si>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</si>
  <si>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</si>
  <si>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</si>
  <si>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</si>
  <si>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</si>
  <si>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</si>
  <si>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</si>
  <si>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</si>
  <si>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</si>
  <si>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</si>
  <si>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</si>
  <si>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</si>
  <si>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</si>
  <si>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</si>
  <si>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</si>
  <si>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</si>
  <si>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</si>
  <si>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</si>
  <si>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</si>
  <si>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</si>
  <si>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</si>
  <si>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</si>
  <si>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</si>
  <si>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</si>
  <si>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</si>
  <si>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</si>
  <si>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</si>
  <si>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</si>
  <si>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</si>
  <si>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</si>
  <si>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</si>
  <si>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</si>
  <si>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</si>
  <si>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</si>
  <si>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</si>
  <si>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</si>
  <si>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</si>
  <si>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</si>
  <si>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</si>
  <si>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</si>
  <si>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</si>
  <si>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</si>
  <si>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</si>
  <si>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</si>
  <si>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</si>
  <si>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</si>
  <si>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</si>
  <si>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</si>
  <si>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</si>
  <si>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</si>
  <si>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</si>
  <si>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</si>
  <si>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</si>
  <si>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</si>
  <si>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</si>
  <si>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</si>
  <si>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</si>
  <si>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</si>
  <si>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</si>
  <si>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</si>
  <si>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</si>
  <si>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</si>
  <si>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</si>
  <si>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</si>
  <si>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</si>
  <si>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</si>
  <si>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</si>
  <si>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</si>
  <si>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</si>
  <si>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</si>
  <si>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</si>
  <si>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</si>
  <si>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</si>
  <si>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</si>
  <si>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</si>
  <si>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</si>
  <si>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</si>
  <si>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</si>
  <si>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</si>
  <si>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</si>
  <si>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</si>
  <si>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</si>
  <si>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</si>
  <si>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</si>
  <si>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</si>
  <si>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</si>
  <si>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</si>
  <si>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</si>
  <si>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</si>
  <si>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</si>
  <si>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</si>
  <si>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</si>
  <si>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</si>
  <si>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</si>
  <si>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</si>
  <si>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</si>
  <si>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</si>
  <si>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</si>
  <si>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</si>
  <si>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</si>
  <si>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</si>
  <si>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</si>
  <si>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</si>
  <si>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</si>
  <si>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</si>
  <si>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</si>
  <si>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</si>
  <si>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</si>
  <si>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</si>
  <si>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</si>
  <si>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</si>
  <si>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</si>
  <si>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</si>
  <si>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</si>
  <si>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</si>
  <si>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</si>
  <si>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</si>
  <si>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</si>
  <si>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</si>
  <si>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</si>
  <si>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</si>
  <si>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</si>
  <si>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</si>
  <si>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</si>
  <si>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</si>
  <si>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</si>
  <si>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</si>
  <si>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</si>
  <si>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</si>
  <si>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</si>
  <si>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</si>
  <si>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</si>
  <si>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</si>
  <si>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</si>
  <si>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</si>
  <si>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</si>
  <si>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</si>
  <si>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</si>
  <si>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</si>
  <si>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</si>
  <si>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</si>
  <si>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</si>
  <si>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</si>
  <si>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</si>
  <si>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</si>
  <si>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</si>
  <si>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</si>
  <si>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</si>
  <si>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</si>
  <si>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</si>
  <si>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</si>
  <si>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</si>
  <si>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</si>
  <si>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</si>
  <si>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</si>
  <si>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</si>
  <si>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</si>
  <si>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</si>
  <si>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</si>
  <si>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</si>
  <si>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</si>
  <si>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</si>
  <si>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</si>
  <si>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</si>
  <si>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</si>
  <si>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</si>
  <si>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</si>
  <si>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</si>
  <si>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</si>
  <si>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</si>
  <si>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</si>
  <si>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</si>
  <si>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</si>
  <si>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</si>
  <si>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</si>
  <si>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</si>
  <si>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</si>
  <si>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</si>
  <si>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</si>
  <si>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</si>
  <si>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</si>
  <si>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</si>
  <si>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</si>
  <si>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</si>
  <si>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</si>
  <si>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</si>
  <si>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</si>
  <si>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</si>
  <si>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</si>
  <si>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</si>
  <si>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</si>
  <si>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</si>
  <si>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</si>
  <si>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</si>
  <si>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</si>
  <si>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</si>
  <si>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</si>
  <si>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</si>
  <si>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</si>
  <si>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</si>
  <si>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</si>
  <si>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</si>
  <si>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</si>
  <si>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</si>
  <si>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</si>
  <si>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</si>
  <si>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</si>
  <si>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</si>
  <si>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</si>
  <si>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</si>
  <si>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</si>
  <si>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</si>
  <si>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</si>
  <si>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</si>
  <si>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</si>
  <si>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</si>
  <si>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</si>
  <si>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</si>
  <si>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</si>
  <si>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</si>
  <si>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</si>
  <si>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</si>
  <si>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</si>
  <si>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</si>
  <si>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</si>
  <si>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</si>
  <si>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</si>
  <si>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</si>
  <si>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</si>
  <si>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</si>
  <si>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</si>
  <si>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</si>
  <si>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</si>
  <si>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</si>
  <si>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</si>
  <si>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</si>
  <si>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</si>
  <si>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</si>
  <si>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</si>
  <si>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</si>
  <si>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</si>
  <si>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</si>
  <si>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</si>
  <si>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</si>
  <si>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</si>
  <si>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</si>
  <si>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</si>
  <si>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</si>
  <si>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</si>
  <si>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</si>
  <si>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</si>
  <si>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</si>
  <si>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</si>
  <si>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</si>
  <si>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</si>
  <si>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</si>
  <si>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</si>
  <si>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</si>
  <si>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</si>
  <si>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</si>
  <si>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</si>
  <si>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</si>
  <si>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</si>
  <si>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</si>
  <si>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</si>
  <si>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</si>
  <si>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</si>
  <si>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</si>
  <si>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</si>
  <si>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</si>
  <si>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</si>
  <si>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</si>
  <si>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</si>
  <si>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</si>
  <si>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</si>
  <si>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</si>
  <si>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</si>
  <si>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</si>
  <si>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</si>
  <si>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</si>
  <si>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</si>
  <si>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</si>
  <si>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</si>
  <si>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</si>
  <si>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</si>
  <si>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</si>
  <si>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</si>
  <si>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</si>
  <si>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</si>
  <si>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</si>
  <si>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</si>
  <si>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</si>
  <si>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</si>
  <si>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</si>
  <si>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</si>
  <si>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</si>
  <si>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</si>
  <si>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</si>
  <si>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</si>
  <si>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</si>
  <si>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</si>
  <si>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</si>
  <si>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</si>
  <si>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</si>
  <si>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</si>
  <si>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</si>
  <si>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</si>
  <si>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</si>
  <si>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</si>
  <si>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</si>
  <si>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</si>
  <si>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</si>
  <si>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</si>
  <si>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</si>
  <si>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</si>
  <si>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</si>
  <si>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</si>
  <si>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</si>
  <si>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</si>
  <si>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</si>
  <si>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</si>
  <si>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</si>
  <si>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</si>
  <si>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</si>
  <si>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</si>
  <si>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</si>
  <si>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</si>
  <si>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</si>
  <si>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</si>
  <si>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</si>
  <si>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</si>
  <si>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</si>
  <si>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</si>
  <si>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</si>
  <si>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</si>
  <si>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</si>
  <si>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</si>
  <si>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</si>
  <si>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</si>
  <si>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</si>
  <si>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</si>
  <si>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</si>
  <si>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</si>
  <si>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</si>
  <si>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</si>
  <si>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</si>
  <si>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</si>
  <si>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</si>
  <si>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</si>
  <si>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</si>
  <si>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</si>
  <si>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</si>
  <si>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</si>
  <si>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</si>
  <si>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</si>
  <si>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</si>
  <si>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</si>
  <si>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</si>
  <si>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</si>
  <si>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</si>
  <si>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</si>
  <si>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</si>
  <si>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</si>
  <si>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</si>
  <si>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</si>
  <si>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</si>
  <si>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</si>
  <si>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</si>
  <si>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</si>
  <si>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</si>
  <si>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</si>
  <si>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</si>
  <si>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</si>
  <si>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</si>
  <si>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</si>
  <si>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</si>
  <si>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</si>
  <si>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</si>
  <si>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</si>
  <si>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</si>
  <si>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</si>
  <si>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</si>
  <si>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</si>
  <si>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</si>
  <si>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</si>
  <si>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</si>
  <si>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</si>
  <si>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</si>
  <si>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</si>
  <si>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</si>
  <si>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</si>
  <si>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</si>
  <si>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</si>
  <si>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</si>
  <si>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</si>
  <si>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</si>
  <si>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</si>
  <si>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</si>
  <si>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</si>
  <si>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</si>
  <si>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</si>
  <si>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</si>
  <si>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</si>
  <si>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</si>
  <si>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</si>
  <si>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</si>
  <si>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</si>
  <si>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</si>
  <si>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</si>
  <si>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</si>
  <si>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</si>
  <si>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</si>
  <si>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</si>
  <si>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</si>
  <si>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</si>
  <si>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</si>
  <si>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</si>
  <si>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</si>
  <si>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</si>
  <si>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</si>
  <si>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</si>
  <si>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</si>
  <si>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</si>
  <si>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</si>
  <si>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</si>
  <si>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</si>
  <si>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</si>
  <si>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</si>
  <si>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</si>
  <si>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</si>
  <si>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</si>
  <si>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</si>
  <si>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</si>
  <si>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</si>
  <si>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</si>
  <si>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</si>
  <si>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</si>
  <si>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</si>
  <si>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</si>
  <si>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</si>
  <si>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</si>
  <si>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</si>
  <si>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</si>
  <si>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</si>
  <si>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</si>
  <si>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</si>
  <si>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</si>
  <si>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</si>
  <si>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</si>
  <si>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</si>
  <si>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</si>
  <si>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</si>
  <si>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</si>
  <si>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</si>
  <si>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</si>
  <si>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</si>
  <si>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</si>
  <si>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</si>
  <si>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</si>
  <si>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</si>
  <si>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</si>
  <si>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</si>
  <si>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</si>
  <si>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</si>
  <si>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</si>
  <si>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</si>
  <si>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</si>
  <si>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</si>
  <si>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</si>
  <si>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</si>
  <si>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</si>
  <si>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</si>
  <si>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</si>
  <si>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</si>
  <si>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</si>
  <si>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</si>
  <si>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</si>
  <si>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</si>
  <si>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</si>
  <si>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</si>
  <si>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</si>
  <si>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</si>
  <si>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</si>
  <si>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</si>
  <si>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</si>
  <si>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</si>
  <si>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</si>
  <si>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</si>
  <si>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</si>
  <si>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</si>
  <si>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</si>
  <si>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</si>
  <si>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</si>
  <si>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</si>
  <si>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</si>
  <si>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</si>
  <si>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</si>
  <si>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</si>
  <si>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</si>
  <si>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</si>
  <si>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</si>
  <si>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</si>
  <si>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</si>
  <si>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</si>
  <si>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</si>
  <si>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</si>
  <si>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</si>
  <si>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</si>
  <si>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</si>
  <si>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</si>
  <si>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</si>
  <si>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</si>
  <si>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</si>
  <si>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</si>
  <si>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</si>
  <si>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</si>
  <si>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</si>
  <si>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</si>
  <si>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</si>
  <si>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</si>
  <si>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</si>
  <si>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</si>
  <si>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</si>
  <si>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</si>
  <si>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</si>
  <si>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</si>
  <si>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</si>
  <si>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</si>
  <si>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</si>
  <si>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</si>
  <si>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</si>
  <si>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</si>
  <si>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</si>
  <si>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</si>
  <si>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</si>
  <si>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</si>
  <si>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</si>
  <si>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</si>
  <si>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</si>
  <si>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</si>
  <si>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</si>
  <si>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</si>
  <si>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</si>
  <si>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</si>
  <si>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</si>
  <si>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</si>
  <si>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</si>
  <si>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</si>
  <si>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</si>
  <si>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</si>
  <si>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</si>
  <si>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</si>
  <si>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</si>
  <si>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</si>
  <si>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</si>
  <si>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</si>
  <si>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</si>
  <si>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</si>
  <si>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</si>
  <si>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</si>
  <si>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</si>
  <si>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</si>
  <si>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</si>
  <si>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</si>
  <si>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</si>
  <si>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</si>
  <si>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</si>
  <si>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</si>
  <si>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</si>
  <si>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</si>
  <si>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</si>
  <si>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</si>
  <si>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</si>
  <si>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</si>
  <si>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</si>
  <si>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</si>
  <si>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</si>
  <si>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</si>
  <si>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</si>
  <si>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</si>
  <si>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</si>
  <si>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</si>
  <si>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</si>
  <si>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</si>
  <si>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</si>
  <si>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</si>
  <si>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</si>
  <si>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</si>
  <si>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</si>
  <si>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</si>
  <si>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</si>
  <si>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</si>
  <si>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</si>
  <si>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</si>
  <si>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</si>
  <si>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</si>
  <si>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</si>
  <si>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</si>
  <si>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</si>
  <si>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</si>
  <si>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</si>
  <si>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</si>
  <si>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</si>
  <si>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</si>
  <si>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</si>
  <si>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</si>
  <si>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</si>
  <si>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</si>
  <si>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</si>
  <si>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</si>
  <si>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</si>
  <si>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</si>
  <si>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</si>
  <si>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</si>
  <si>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</si>
  <si>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</si>
  <si>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</si>
  <si>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</si>
  <si>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</si>
  <si>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</si>
  <si>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</si>
  <si>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</si>
  <si>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</si>
  <si>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</si>
  <si>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</si>
  <si>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</si>
  <si>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</si>
  <si>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</si>
  <si>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</si>
  <si>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</si>
  <si>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</si>
  <si>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</si>
  <si>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</si>
  <si>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</si>
  <si>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</si>
  <si>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</si>
  <si>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</si>
  <si>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</si>
  <si>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</si>
  <si>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</si>
  <si>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</si>
  <si>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</si>
  <si>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</si>
  <si>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</si>
  <si>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</si>
  <si>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</si>
  <si>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</si>
  <si>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</si>
  <si>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</si>
  <si>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</si>
  <si>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</si>
  <si>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</si>
  <si>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</si>
  <si>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</si>
  <si>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</si>
  <si>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</si>
  <si>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</si>
  <si>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</si>
  <si>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</si>
  <si>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Shoho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</si>
  <si>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</si>
  <si>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</si>
  <si>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</si>
  <si>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</si>
  <si>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</si>
  <si>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</si>
  <si>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</si>
  <si>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</si>
  <si>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</si>
  <si>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</si>
  <si>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</si>
  <si>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</si>
  <si>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</si>
  <si>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</si>
  <si>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</si>
  <si>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</si>
  <si>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</si>
  <si>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Georg Thiele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</si>
  <si>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</si>
  <si>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</si>
  <si>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</si>
  <si>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</si>
  <si>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</si>
  <si>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</si>
  <si>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</si>
  <si>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</si>
  <si>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</si>
  <si>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</si>
  <si>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</si>
  <si>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</si>
  <si>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</si>
  <si>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</si>
  <si>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</si>
  <si>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</si>
  <si>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</si>
  <si>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</si>
  <si>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</si>
  <si>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</si>
  <si>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</si>
  <si>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</si>
  <si>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</si>
  <si>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</si>
  <si>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</si>
  <si>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</si>
  <si>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</si>
  <si>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</si>
  <si>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</si>
  <si>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</si>
  <si>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</si>
  <si>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</si>
  <si>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</si>
  <si>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</si>
  <si>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</si>
  <si>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</si>
  <si>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</si>
  <si>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</si>
  <si>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</si>
  <si>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</si>
  <si>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</si>
  <si>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</si>
  <si>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</si>
  <si>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</si>
  <si>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</si>
  <si>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</si>
  <si>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</si>
  <si>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</si>
  <si>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</si>
  <si>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</si>
  <si>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</si>
  <si>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</si>
  <si>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</si>
  <si>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</si>
  <si>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</si>
  <si>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</si>
  <si>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</si>
  <si>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</si>
  <si>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</si>
  <si>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</si>
  <si>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</si>
  <si>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</si>
  <si>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</si>
  <si>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</si>
  <si>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</si>
  <si>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</si>
  <si>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</si>
  <si>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</si>
  <si>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</si>
  <si>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</si>
  <si>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</si>
  <si>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</si>
  <si>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</si>
  <si>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</si>
  <si>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</si>
  <si>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</si>
  <si>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</si>
  <si>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</si>
  <si>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</si>
  <si>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</si>
  <si>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</si>
  <si>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</si>
  <si>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</si>
  <si>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</si>
  <si>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</si>
  <si>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</si>
  <si>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</si>
  <si>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</si>
  <si>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</si>
  <si>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</si>
  <si>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</si>
  <si>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</si>
  <si>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</si>
  <si>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</si>
  <si>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</si>
  <si>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</si>
  <si>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</si>
  <si>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</si>
  <si>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</si>
  <si>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</si>
  <si>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</si>
  <si>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</si>
  <si>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</si>
  <si>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</si>
  <si>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</si>
  <si>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</si>
  <si>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</si>
  <si>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</si>
  <si>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</si>
  <si>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</si>
  <si>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</si>
  <si>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</si>
  <si>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</si>
  <si>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</si>
  <si>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</si>
  <si>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</si>
  <si>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</si>
  <si>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</si>
  <si>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</si>
  <si>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</si>
  <si>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</si>
  <si>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</si>
  <si>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</si>
  <si>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</si>
  <si>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</si>
  <si>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</si>
  <si>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</si>
  <si>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</si>
  <si>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</si>
  <si>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</si>
  <si>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</si>
  <si>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</si>
  <si>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</si>
  <si>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</si>
  <si>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</si>
  <si>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</si>
  <si>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</si>
  <si>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</si>
  <si>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</si>
  <si>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</si>
  <si>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</si>
  <si>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</si>
  <si>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</si>
  <si>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</si>
  <si>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</si>
  <si>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</si>
  <si>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</si>
  <si>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</si>
  <si>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</si>
  <si>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</si>
  <si>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</si>
  <si>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</si>
  <si>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</si>
  <si>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</si>
  <si>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</si>
  <si>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</si>
  <si>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</si>
  <si>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</si>
  <si>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</si>
  <si>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</si>
  <si>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</si>
  <si>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</si>
  <si>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</si>
  <si>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</si>
  <si>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</si>
  <si>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</si>
  <si>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</si>
  <si>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</si>
  <si>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</si>
  <si>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</si>
  <si>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</si>
  <si>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</si>
  <si>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</si>
  <si>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</si>
  <si>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</si>
  <si>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</si>
  <si>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</si>
  <si>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</si>
  <si>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</si>
  <si>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</si>
  <si>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</si>
  <si>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</si>
  <si>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</si>
  <si>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</si>
  <si>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</si>
  <si>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</si>
  <si>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</si>
  <si>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</si>
  <si>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</si>
  <si>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</si>
  <si>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</si>
  <si>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</si>
  <si>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</si>
  <si>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</si>
  <si>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</si>
  <si>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</si>
  <si>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</si>
  <si>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</si>
  <si>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</si>
  <si>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</si>
  <si>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</si>
  <si>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</si>
  <si>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</si>
  <si>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</si>
  <si>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</si>
  <si>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</si>
  <si>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</si>
  <si>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</si>
  <si>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</si>
  <si>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</si>
  <si>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</si>
  <si>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</si>
  <si>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</si>
  <si>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</si>
  <si>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</si>
  <si>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</si>
  <si>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</si>
  <si>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</si>
  <si>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</si>
  <si>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</si>
  <si>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</si>
  <si>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</si>
  <si>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</si>
  <si>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</si>
  <si>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</si>
  <si>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</si>
  <si>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</si>
  <si>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</si>
  <si>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</si>
  <si>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</si>
  <si>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</si>
  <si>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</si>
  <si>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</si>
  <si>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</si>
  <si>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</si>
  <si>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</si>
  <si>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</si>
  <si>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</si>
  <si>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</si>
  <si>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</si>
  <si>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</si>
  <si>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</si>
  <si>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</si>
  <si>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</si>
  <si>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</si>
  <si>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</si>
  <si>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</si>
  <si>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</si>
  <si>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</si>
  <si>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</si>
  <si>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</si>
  <si>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</si>
  <si>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</si>
  <si>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</si>
  <si>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</si>
  <si>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</si>
  <si>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</si>
  <si>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</si>
  <si>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</si>
  <si>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</si>
  <si>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</si>
  <si>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</si>
  <si>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</si>
  <si>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</si>
  <si>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</si>
  <si>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</si>
  <si>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</si>
  <si>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</si>
  <si>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</si>
  <si>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</si>
  <si>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</si>
  <si>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</si>
  <si>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</si>
  <si>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</si>
  <si>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</si>
  <si>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</si>
  <si>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</si>
  <si>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</si>
  <si>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</si>
  <si>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</si>
  <si>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</si>
  <si>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</si>
  <si>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</si>
  <si>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</si>
  <si>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</si>
  <si>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</si>
  <si>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</si>
  <si>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</si>
  <si>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</si>
  <si>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</si>
  <si>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</si>
  <si>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</si>
  <si>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</si>
  <si>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</si>
  <si>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</si>
  <si>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</si>
  <si>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</si>
  <si>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</si>
  <si>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</si>
  <si>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</si>
  <si>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</si>
  <si>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</si>
  <si>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</si>
  <si>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</si>
  <si>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</si>
  <si>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</si>
  <si>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</si>
  <si>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</si>
  <si>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</si>
  <si>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</si>
  <si>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</si>
  <si>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</si>
  <si>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</si>
  <si>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</si>
  <si>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</si>
  <si>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</si>
  <si>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</si>
  <si>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</si>
  <si>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</si>
  <si>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</si>
  <si>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</si>
  <si>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</si>
  <si>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</si>
  <si>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</si>
  <si>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</si>
  <si>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</si>
  <si>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</si>
  <si>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</si>
  <si>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</si>
  <si>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</si>
  <si>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</si>
  <si>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</si>
  <si>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</si>
  <si>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</si>
  <si>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</si>
  <si>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</si>
  <si>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</si>
  <si>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</si>
  <si>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</si>
  <si>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</si>
  <si>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</si>
  <si>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</si>
  <si>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</si>
  <si>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</si>
  <si>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</si>
  <si>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</si>
  <si>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</si>
  <si>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</si>
  <si>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</si>
  <si>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</si>
  <si>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</si>
  <si>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</si>
  <si>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</si>
  <si>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</si>
  <si>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</si>
  <si>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</si>
  <si>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</si>
  <si>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</si>
  <si>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</si>
  <si>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</si>
  <si>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</si>
  <si>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</si>
  <si>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</si>
  <si>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</si>
  <si>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</si>
  <si>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</si>
  <si>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</si>
  <si>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</si>
  <si>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</si>
  <si>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</si>
  <si>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</si>
  <si>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</si>
  <si>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</si>
  <si>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</si>
  <si>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</si>
  <si>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</si>
  <si>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</si>
  <si>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</si>
  <si>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</si>
  <si>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</si>
  <si>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</si>
  <si>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</si>
  <si>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</si>
  <si>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</si>
  <si>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</si>
  <si>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</si>
  <si>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</si>
  <si>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</si>
  <si>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</si>
  <si>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</si>
  <si>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</si>
  <si>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</si>
  <si>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</si>
  <si>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</si>
  <si>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</si>
  <si>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</si>
  <si>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</si>
  <si>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</si>
  <si>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</si>
  <si>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</si>
  <si>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</si>
  <si>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</si>
  <si>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</si>
  <si>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</si>
  <si>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</si>
  <si>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</si>
  <si>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</si>
  <si>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</si>
  <si>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</si>
  <si>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</si>
  <si>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</si>
  <si>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</si>
  <si>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</si>
  <si>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</si>
  <si>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</si>
  <si>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</si>
  <si>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</si>
  <si>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</si>
  <si>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</si>
  <si>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</si>
  <si>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</si>
  <si>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</si>
  <si>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</si>
  <si>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</si>
  <si>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</si>
  <si>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</si>
  <si>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</si>
  <si>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</si>
  <si>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</si>
  <si>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</si>
  <si>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</si>
  <si>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</si>
  <si>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</si>
  <si>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</si>
  <si>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</si>
  <si>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</si>
  <si>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</si>
  <si>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</si>
  <si>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</si>
  <si>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</si>
  <si>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</si>
  <si>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</si>
  <si>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</si>
  <si>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</si>
  <si>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</si>
  <si>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</si>
  <si>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</si>
  <si>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</si>
  <si>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</si>
  <si>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</si>
  <si>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</si>
  <si>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</si>
  <si>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</si>
  <si>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</si>
  <si>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</si>
  <si>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</si>
  <si>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</si>
  <si>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</si>
  <si>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</si>
  <si>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</si>
  <si>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</si>
  <si>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</si>
  <si>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</si>
  <si>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</si>
  <si>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</si>
  <si>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</si>
  <si>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</si>
  <si>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</si>
  <si>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</si>
  <si>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</si>
  <si>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</si>
  <si>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</si>
  <si>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</si>
  <si>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</si>
  <si>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</si>
  <si>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</si>
  <si>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</si>
  <si>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</si>
  <si>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</si>
  <si>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</si>
  <si>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</si>
  <si>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</si>
  <si>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</si>
  <si>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</si>
  <si>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</si>
  <si>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</si>
  <si>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</si>
  <si>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</si>
  <si>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</si>
  <si>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</si>
  <si>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</si>
  <si>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</si>
  <si>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</si>
  <si>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</si>
  <si>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</si>
  <si>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</si>
  <si>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</si>
  <si>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</si>
  <si>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</si>
  <si>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</si>
  <si>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</si>
  <si>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</si>
  <si>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</si>
  <si>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</si>
  <si>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</si>
  <si>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</si>
  <si>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</si>
  <si>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</si>
  <si>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</si>
  <si>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</si>
  <si>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</si>
  <si>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</si>
  <si>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</si>
  <si>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</si>
  <si>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</si>
  <si>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</si>
  <si>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</si>
  <si>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</si>
  <si>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</si>
  <si>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</si>
  <si>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</si>
  <si>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</si>
  <si>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</si>
  <si>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</si>
  <si>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</si>
  <si>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</si>
  <si>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</si>
  <si>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</si>
  <si>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</si>
  <si>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</si>
  <si>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</si>
  <si>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</si>
  <si>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</si>
  <si>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</si>
  <si>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</si>
  <si>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</si>
  <si>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</si>
  <si>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</si>
  <si>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</si>
  <si>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</si>
  <si>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</si>
  <si>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</si>
  <si>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</si>
  <si>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</si>
  <si>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</si>
  <si>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</si>
  <si>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</si>
  <si>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</si>
  <si>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</si>
  <si>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</si>
  <si>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</si>
  <si>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</si>
  <si>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</si>
  <si>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</si>
  <si>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</si>
  <si>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</si>
  <si>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</si>
  <si>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</si>
  <si>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</si>
  <si>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</si>
  <si>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</si>
  <si>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</si>
  <si>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</si>
  <si>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</si>
  <si>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</si>
  <si>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</si>
  <si>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</si>
  <si>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</si>
  <si>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</si>
  <si>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</si>
  <si>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</si>
  <si>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</si>
  <si>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</si>
  <si>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</si>
  <si>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</si>
  <si>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</si>
  <si>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</si>
  <si>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</si>
  <si>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</si>
  <si>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</si>
  <si>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</si>
  <si>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</si>
  <si>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</si>
  <si>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</si>
  <si>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</si>
  <si>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</si>
  <si>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</si>
  <si>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</si>
  <si>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</si>
  <si>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</si>
  <si>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</si>
  <si>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</si>
  <si>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</si>
  <si>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</si>
  <si>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</si>
  <si>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</si>
  <si>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</si>
  <si>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</si>
  <si>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</si>
  <si>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</si>
  <si>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</si>
  <si>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</si>
  <si>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</si>
  <si>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</si>
  <si>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</si>
  <si>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</si>
  <si>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</si>
  <si>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</si>
  <si>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</si>
  <si>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</si>
  <si>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</si>
  <si>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</si>
  <si>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法国四联420毫米主炮</t>
  </si>
  <si>
    <t>10605</t>
  </si>
  <si>
    <t>605</t>
    <phoneticPr fontId="2" type="noConversion"/>
  </si>
  <si>
    <t>重炮装备时增加10%护甲穿透和10%回避率</t>
  </si>
  <si>
    <t>英国双联15英寸主炮（BM）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</si>
  <si>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</si>
  <si>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</si>
  <si>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</si>
  <si>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</si>
  <si>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</si>
  <si>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</si>
  <si>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</si>
  <si>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</si>
  <si>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</si>
  <si>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</si>
  <si>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</si>
  <si>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</si>
  <si>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</si>
  <si>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</si>
  <si>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</si>
  <si>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</si>
  <si>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</si>
  <si>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</si>
  <si>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</si>
  <si>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</si>
  <si>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</si>
  <si>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</si>
  <si>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</si>
  <si>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</si>
  <si>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</si>
  <si>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</si>
  <si>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</si>
  <si>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</si>
  <si>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</si>
  <si>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</si>
  <si>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</si>
  <si>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</si>
  <si>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</si>
  <si>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</si>
  <si>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</si>
  <si>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</si>
  <si>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</si>
  <si>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</si>
  <si>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</si>
  <si>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</si>
  <si>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</si>
  <si>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</si>
  <si>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</si>
  <si>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</si>
  <si>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</si>
  <si>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</si>
  <si>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</si>
  <si>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</si>
  <si>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</si>
  <si>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</si>
  <si>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</si>
  <si>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</si>
  <si>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</si>
  <si>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</si>
  <si>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</si>
  <si>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</si>
  <si>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</si>
  <si>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</si>
  <si>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</si>
  <si>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</si>
  <si>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</si>
  <si>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</si>
  <si>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</si>
  <si>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</si>
  <si>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</si>
  <si>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</si>
  <si>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</si>
  <si>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</si>
  <si>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</si>
  <si>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</si>
  <si>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</si>
  <si>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</si>
  <si>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</si>
  <si>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</si>
  <si>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</si>
  <si>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</si>
  <si>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</si>
  <si>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</si>
  <si>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</si>
  <si>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</si>
  <si>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</si>
  <si>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</si>
  <si>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</si>
  <si>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</si>
  <si>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</si>
  <si>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</si>
  <si>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</si>
  <si>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</si>
  <si>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</si>
  <si>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</si>
  <si>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</si>
  <si>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</si>
  <si>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</si>
  <si>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</si>
  <si>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</si>
  <si>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</si>
  <si>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</si>
  <si>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</si>
  <si>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</si>
  <si>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</si>
  <si>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</si>
  <si>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</si>
  <si>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</si>
  <si>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</si>
  <si>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</si>
  <si>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</si>
  <si>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</si>
  <si>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</si>
  <si>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</si>
  <si>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</si>
  <si>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</si>
  <si>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620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</si>
  <si>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</si>
  <si>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</si>
  <si>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</si>
  <si>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</si>
  <si>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</si>
  <si>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</si>
  <si>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</si>
  <si>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</si>
  <si>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</si>
  <si>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</si>
  <si>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</si>
  <si>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</si>
  <si>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</si>
  <si>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</si>
  <si>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</si>
  <si>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</si>
  <si>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</si>
  <si>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</si>
  <si>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</si>
  <si>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</si>
  <si>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</si>
  <si>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</si>
  <si>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</si>
  <si>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</si>
  <si>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</si>
  <si>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</si>
  <si>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</si>
  <si>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</si>
  <si>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</si>
  <si>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</si>
  <si>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</si>
  <si>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</si>
  <si>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</si>
  <si>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</si>
  <si>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</si>
  <si>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</si>
  <si>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</si>
  <si>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</si>
  <si>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</si>
  <si>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</si>
  <si>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</si>
  <si>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</si>
  <si>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</si>
  <si>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</si>
  <si>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</si>
  <si>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</si>
  <si>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</si>
  <si>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</si>
  <si>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</si>
  <si>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</si>
  <si>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</si>
  <si>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</si>
  <si>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</si>
  <si>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</si>
  <si>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</si>
  <si>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</si>
  <si>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</si>
  <si>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</si>
  <si>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</si>
  <si>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</si>
  <si>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</si>
  <si>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</si>
  <si>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</si>
  <si>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</si>
  <si>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</si>
  <si>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</si>
  <si>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</si>
  <si>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</si>
  <si>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</si>
  <si>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</si>
  <si>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</si>
  <si>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</si>
  <si>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</si>
  <si>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</si>
  <si>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</si>
  <si>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</si>
  <si>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</si>
  <si>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</si>
  <si>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</si>
  <si>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</si>
  <si>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</si>
  <si>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</si>
  <si>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</si>
  <si>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</si>
  <si>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</si>
  <si>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</si>
  <si>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</si>
  <si>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</si>
  <si>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</si>
  <si>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</si>
  <si>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</si>
  <si>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</si>
  <si>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</si>
  <si>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</si>
  <si>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</si>
  <si>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</si>
  <si>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</si>
  <si>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</si>
  <si>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</si>
  <si>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</si>
  <si>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</si>
  <si>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</si>
  <si>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</si>
  <si>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</si>
  <si>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</si>
  <si>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</si>
  <si>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</si>
  <si>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</si>
  <si>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</si>
  <si>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</si>
  <si>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</si>
  <si>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</si>
  <si>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</si>
  <si>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</si>
  <si>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</si>
  <si>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</si>
  <si>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</si>
  <si>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</si>
  <si>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</si>
  <si>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</si>
  <si>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</si>
  <si>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</si>
  <si>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</si>
  <si>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</si>
  <si>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</si>
  <si>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</si>
  <si>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</si>
  <si>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</si>
  <si>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</si>
  <si>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</si>
  <si>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</si>
  <si>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</si>
  <si>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</si>
  <si>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</si>
  <si>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</si>
  <si>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</si>
  <si>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</si>
  <si>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</si>
  <si>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</si>
  <si>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</si>
  <si>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</si>
  <si>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</si>
  <si>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</si>
  <si>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</si>
  <si>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</si>
  <si>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</si>
  <si>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</si>
  <si>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</si>
  <si>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</si>
  <si>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</si>
  <si>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</si>
  <si>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</si>
  <si>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</si>
  <si>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</si>
  <si>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</si>
  <si>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</si>
  <si>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</si>
  <si>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</si>
  <si>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</si>
  <si>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</si>
  <si>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</si>
  <si>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</si>
  <si>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</si>
  <si>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</si>
  <si>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</si>
  <si>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</si>
  <si>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</si>
  <si>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</si>
  <si>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</si>
  <si>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</si>
  <si>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</si>
  <si>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</si>
  <si>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</si>
  <si>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</si>
  <si>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</si>
  <si>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</si>
  <si>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</si>
  <si>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</si>
  <si>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</si>
  <si>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</si>
  <si>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</si>
  <si>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</si>
  <si>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</si>
  <si>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</si>
  <si>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</si>
  <si>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</si>
  <si>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</si>
  <si>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</si>
  <si>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</si>
  <si>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</si>
  <si>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</si>
  <si>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</si>
  <si>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</si>
  <si>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</si>
  <si>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</si>
  <si>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</si>
  <si>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</si>
  <si>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</si>
  <si>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</si>
  <si>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</si>
  <si>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</si>
  <si>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</si>
  <si>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</si>
  <si>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</si>
  <si>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</si>
  <si>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</si>
  <si>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</si>
  <si>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</si>
  <si>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</si>
  <si>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</si>
  <si>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</si>
  <si>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</si>
  <si>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</si>
  <si>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</si>
  <si>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</si>
  <si>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</si>
  <si>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</si>
  <si>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</si>
  <si>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</si>
  <si>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</si>
  <si>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</si>
  <si>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</si>
  <si>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</si>
  <si>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</si>
  <si>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</si>
  <si>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</si>
  <si>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</si>
  <si>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</si>
  <si>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</si>
  <si>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</si>
  <si>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</si>
  <si>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</si>
  <si>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</si>
  <si>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</si>
  <si>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</si>
  <si>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</si>
  <si>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</si>
  <si>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</si>
  <si>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</si>
  <si>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</si>
  <si>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</si>
  <si>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</si>
  <si>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</si>
  <si>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</si>
  <si>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</si>
  <si>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</si>
  <si>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</si>
  <si>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</si>
  <si>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</si>
  <si>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</si>
  <si>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</si>
  <si>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</si>
  <si>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</si>
  <si>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</si>
  <si>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</si>
  <si>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</si>
  <si>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</si>
  <si>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</si>
  <si>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</si>
  <si>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</si>
  <si>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</si>
  <si>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</si>
  <si>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</si>
  <si>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</si>
  <si>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</si>
  <si>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</si>
  <si>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</si>
  <si>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</si>
  <si>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</si>
  <si>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</si>
  <si>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</si>
  <si>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</si>
  <si>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</si>
  <si>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</si>
  <si>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</si>
  <si>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</si>
  <si>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</si>
  <si>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</si>
  <si>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</si>
  <si>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</si>
  <si>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</si>
  <si>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</si>
  <si>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</si>
  <si>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</si>
  <si>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</si>
  <si>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</si>
  <si>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</si>
  <si>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</si>
  <si>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</si>
  <si>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</si>
  <si>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</si>
  <si>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</si>
  <si>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德国双联480毫米主炮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</si>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</sst>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49" fontId="5" fillId="0" borderId="0" xfId="0" applyNumberFormat="1" applyFont="1"/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49" fontId="4" fillId="0" borderId="0" xfId="0" applyNumberFormat="1" applyFont="1"/>
    <xf numFmtId="0" fontId="1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64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FF0000"/>
      </font>
    </dxf>
    <dxf>
      <font>
        <color rgb="FF00B0F0"/>
      </font>
    </dxf>
    <dxf>
      <font>
        <color rgb="FF9933FF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FF000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808080"/>
      </font>
    </dxf>
    <dxf>
      <font>
        <color rgb="FF65FF65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80808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9"/>
  <sheetViews>
    <sheetView tabSelected="1" workbookViewId="0">
      <pane xSplit="3" ySplit="1" topLeftCell="D111" activePane="bottomRight" state="frozen"/>
      <selection pane="topRight" activeCell="D1" sqref="D1"/>
      <selection pane="bottomLeft" activeCell="A2" sqref="A2"/>
      <selection pane="bottomRight" activeCell="C133" sqref="C133"/>
    </sheetView>
  </sheetViews>
  <sheetFormatPr defaultColWidth="9" defaultRowHeight="14.25" x14ac:dyDescent="0.2"/>
  <cols>
    <col min="3" max="3" width="21.875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2" t="s">
        <v>1852</v>
      </c>
      <c r="X1" s="12" t="s">
        <v>1853</v>
      </c>
      <c r="Y1" s="12" t="s">
        <v>1854</v>
      </c>
      <c r="Z1" s="12" t="s">
        <v>1855</v>
      </c>
      <c r="AA1" t="s">
        <v>23</v>
      </c>
      <c r="AB1" t="s">
        <v>24</v>
      </c>
      <c r="AC1" s="3" t="s">
        <v>26</v>
      </c>
    </row>
    <row r="2" spans="1:29" x14ac:dyDescent="0.2">
      <c r="A2" s="3">
        <v>10022</v>
      </c>
      <c r="B2" t="s">
        <v>21</v>
      </c>
      <c r="C2" s="8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10">
        <v>60</v>
      </c>
      <c r="X2" s="10">
        <v>55</v>
      </c>
      <c r="Y2" s="10">
        <v>2.4</v>
      </c>
      <c r="Z2" s="10">
        <v>4.5</v>
      </c>
    </row>
    <row r="3" spans="1:29" x14ac:dyDescent="0.2">
      <c r="A3" s="3">
        <v>10023</v>
      </c>
      <c r="B3" t="s">
        <v>21</v>
      </c>
      <c r="C3" s="8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10">
        <v>60</v>
      </c>
      <c r="X3" s="10">
        <v>55</v>
      </c>
      <c r="Y3" s="10">
        <v>2.56</v>
      </c>
      <c r="Z3" s="10">
        <v>4.8</v>
      </c>
    </row>
    <row r="4" spans="1:29" x14ac:dyDescent="0.2">
      <c r="A4" s="3">
        <v>10029</v>
      </c>
      <c r="B4" t="s">
        <v>21</v>
      </c>
      <c r="C4" s="8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10">
        <v>55</v>
      </c>
      <c r="X4" s="10">
        <v>60</v>
      </c>
      <c r="Y4" s="10">
        <v>2.08</v>
      </c>
      <c r="Z4" s="10">
        <v>3.9</v>
      </c>
    </row>
    <row r="5" spans="1:29" x14ac:dyDescent="0.2">
      <c r="A5" s="3">
        <v>10030</v>
      </c>
      <c r="B5" t="s">
        <v>21</v>
      </c>
      <c r="C5" s="8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10">
        <v>55</v>
      </c>
      <c r="X5" s="10">
        <v>60</v>
      </c>
      <c r="Y5" s="10">
        <v>2.08</v>
      </c>
      <c r="Z5" s="10">
        <v>3.9</v>
      </c>
    </row>
    <row r="6" spans="1:29" x14ac:dyDescent="0.2">
      <c r="A6" s="3">
        <v>10031</v>
      </c>
      <c r="B6" t="s">
        <v>21</v>
      </c>
      <c r="C6" s="8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10">
        <v>55</v>
      </c>
      <c r="X6" s="10">
        <v>60</v>
      </c>
      <c r="Y6" s="10">
        <v>2.08</v>
      </c>
      <c r="Z6" s="10">
        <v>3.9</v>
      </c>
    </row>
    <row r="7" spans="1:29" x14ac:dyDescent="0.2">
      <c r="A7" s="3">
        <v>10100</v>
      </c>
      <c r="B7" t="s">
        <v>206</v>
      </c>
      <c r="C7" s="8" t="s">
        <v>1856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3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8" t="s">
        <v>1857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111051</v>
      </c>
      <c r="AB8" s="6"/>
    </row>
    <row r="9" spans="1:29" x14ac:dyDescent="0.2">
      <c r="A9" s="3">
        <v>10113</v>
      </c>
      <c r="B9" t="s">
        <v>206</v>
      </c>
      <c r="C9" s="8" t="s">
        <v>1858</v>
      </c>
      <c r="D9" s="3" t="s">
        <v>70</v>
      </c>
      <c r="E9" s="10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8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10">
        <v>70</v>
      </c>
      <c r="X10" s="10">
        <v>65</v>
      </c>
      <c r="Y10" s="10">
        <v>2.88</v>
      </c>
      <c r="Z10" s="10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8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10">
        <v>50</v>
      </c>
      <c r="X11" s="10">
        <v>55</v>
      </c>
      <c r="Y11" s="10">
        <v>2.08</v>
      </c>
      <c r="Z11" s="10">
        <v>4.3</v>
      </c>
    </row>
    <row r="12" spans="1:29" x14ac:dyDescent="0.2">
      <c r="A12" s="3">
        <v>10119</v>
      </c>
      <c r="B12" t="s">
        <v>21</v>
      </c>
      <c r="C12" s="8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10">
        <v>50</v>
      </c>
      <c r="X12" s="10">
        <v>60</v>
      </c>
      <c r="Y12" s="10">
        <v>2.08</v>
      </c>
      <c r="Z12" s="10">
        <v>3.9</v>
      </c>
      <c r="AA12">
        <v>101191</v>
      </c>
    </row>
    <row r="13" spans="1:29" x14ac:dyDescent="0.2">
      <c r="A13" s="3">
        <v>10120</v>
      </c>
      <c r="B13" t="s">
        <v>21</v>
      </c>
      <c r="C13" s="8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10">
        <v>55</v>
      </c>
      <c r="X13" s="10">
        <v>60</v>
      </c>
      <c r="Y13" s="10">
        <v>2.08</v>
      </c>
      <c r="Z13" s="10">
        <v>3.9</v>
      </c>
    </row>
    <row r="14" spans="1:29" x14ac:dyDescent="0.2">
      <c r="A14" s="3">
        <v>10121</v>
      </c>
      <c r="B14" t="s">
        <v>21</v>
      </c>
      <c r="C14" s="8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10">
        <v>55</v>
      </c>
      <c r="X14" s="10">
        <v>60</v>
      </c>
      <c r="Y14" s="10">
        <v>2.08</v>
      </c>
      <c r="Z14" s="10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2391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8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2390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8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2432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8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8" t="s">
        <v>1859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2561</v>
      </c>
      <c r="D19" t="s">
        <v>2562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8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5" t="s">
        <v>2563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8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2564</v>
      </c>
    </row>
    <row r="21" spans="1:29" x14ac:dyDescent="0.2">
      <c r="A21" s="3">
        <v>10205</v>
      </c>
      <c r="B21" t="s">
        <v>206</v>
      </c>
      <c r="C21" s="8" t="s">
        <v>1860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8" t="s">
        <v>1861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8" t="s">
        <v>1862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" t="s">
        <v>2283</v>
      </c>
    </row>
    <row r="24" spans="1:29" x14ac:dyDescent="0.2">
      <c r="A24" s="3">
        <v>10208</v>
      </c>
      <c r="B24" t="s">
        <v>206</v>
      </c>
      <c r="C24" s="8" t="s">
        <v>1863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" t="s">
        <v>2282</v>
      </c>
    </row>
    <row r="25" spans="1:29" x14ac:dyDescent="0.2">
      <c r="A25" s="3">
        <v>10209</v>
      </c>
      <c r="B25" t="s">
        <v>206</v>
      </c>
      <c r="C25" s="8" t="s">
        <v>1864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" t="s">
        <v>2564</v>
      </c>
    </row>
    <row r="26" spans="1:29" x14ac:dyDescent="0.2">
      <c r="A26" s="3">
        <v>10210</v>
      </c>
      <c r="B26" t="s">
        <v>206</v>
      </c>
      <c r="C26" s="8" t="s">
        <v>1865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" t="s">
        <v>2564</v>
      </c>
    </row>
    <row r="27" spans="1:29" x14ac:dyDescent="0.2">
      <c r="A27" s="3">
        <v>10212</v>
      </c>
      <c r="B27" t="s">
        <v>206</v>
      </c>
      <c r="C27" t="s">
        <v>2476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8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" t="s">
        <v>2474</v>
      </c>
    </row>
    <row r="28" spans="1:29" x14ac:dyDescent="0.2">
      <c r="A28" s="3">
        <v>10213</v>
      </c>
      <c r="B28" t="s">
        <v>206</v>
      </c>
      <c r="C28" s="8" t="s">
        <v>1866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" t="s">
        <v>2474</v>
      </c>
    </row>
    <row r="29" spans="1:29" x14ac:dyDescent="0.2">
      <c r="A29" s="3">
        <v>10214</v>
      </c>
      <c r="B29" t="s">
        <v>206</v>
      </c>
      <c r="C29" s="8" t="s">
        <v>1867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8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10">
        <v>60</v>
      </c>
      <c r="X30" s="10">
        <v>55</v>
      </c>
      <c r="Y30" s="10">
        <v>2.4</v>
      </c>
      <c r="Z30" s="10">
        <v>4.5</v>
      </c>
    </row>
    <row r="31" spans="1:29" x14ac:dyDescent="0.2">
      <c r="A31" s="3">
        <v>10220</v>
      </c>
      <c r="B31" t="s">
        <v>21</v>
      </c>
      <c r="C31" s="8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10">
        <v>60</v>
      </c>
      <c r="X31" s="10">
        <v>55</v>
      </c>
      <c r="Y31" s="10">
        <v>2.4</v>
      </c>
      <c r="Z31" s="10">
        <v>4.5</v>
      </c>
    </row>
    <row r="32" spans="1:29" x14ac:dyDescent="0.2">
      <c r="A32" s="3">
        <v>10221</v>
      </c>
      <c r="B32" t="s">
        <v>21</v>
      </c>
      <c r="C32" s="8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10">
        <v>60</v>
      </c>
      <c r="X32" s="10">
        <v>55</v>
      </c>
      <c r="Y32" s="10">
        <v>2.4</v>
      </c>
      <c r="Z32" s="10">
        <v>4.5</v>
      </c>
    </row>
    <row r="33" spans="1:29" x14ac:dyDescent="0.2">
      <c r="A33" s="3">
        <v>10222</v>
      </c>
      <c r="B33" t="s">
        <v>21</v>
      </c>
      <c r="C33" s="8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10">
        <v>60</v>
      </c>
      <c r="X33" s="10">
        <v>55</v>
      </c>
      <c r="Y33" s="10">
        <v>2.4</v>
      </c>
      <c r="Z33" s="10">
        <v>4.5</v>
      </c>
    </row>
    <row r="34" spans="1:29" x14ac:dyDescent="0.2">
      <c r="A34" s="3">
        <v>10223</v>
      </c>
      <c r="B34" t="s">
        <v>75</v>
      </c>
      <c r="C34" s="8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10">
        <v>110</v>
      </c>
      <c r="X34" s="10">
        <v>100</v>
      </c>
      <c r="Y34" s="10">
        <v>3.5</v>
      </c>
      <c r="Z34" s="10">
        <v>6</v>
      </c>
      <c r="AA34">
        <v>112231</v>
      </c>
    </row>
    <row r="35" spans="1:29" x14ac:dyDescent="0.2">
      <c r="A35" s="3">
        <v>10224</v>
      </c>
      <c r="B35" t="s">
        <v>75</v>
      </c>
      <c r="C35" s="8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10">
        <v>70</v>
      </c>
      <c r="X35" s="10">
        <v>65</v>
      </c>
      <c r="Y35" s="10">
        <v>2.88</v>
      </c>
      <c r="Z35" s="10">
        <v>5.6</v>
      </c>
      <c r="AA35">
        <v>102241</v>
      </c>
    </row>
    <row r="36" spans="1:29" x14ac:dyDescent="0.2">
      <c r="A36" s="3">
        <v>10225</v>
      </c>
      <c r="B36" t="s">
        <v>21</v>
      </c>
      <c r="C36" s="8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10">
        <v>55</v>
      </c>
      <c r="X36" s="10">
        <v>60</v>
      </c>
      <c r="Y36" s="10">
        <v>2.08</v>
      </c>
      <c r="Z36" s="10">
        <v>3.9</v>
      </c>
    </row>
    <row r="37" spans="1:29" x14ac:dyDescent="0.2">
      <c r="A37" s="3">
        <v>10226</v>
      </c>
      <c r="B37" t="s">
        <v>21</v>
      </c>
      <c r="C37" s="8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10">
        <v>60</v>
      </c>
      <c r="X37" s="10">
        <v>60</v>
      </c>
      <c r="Y37" s="10">
        <v>2.4</v>
      </c>
      <c r="Z37" s="10">
        <v>4.5</v>
      </c>
      <c r="AA37">
        <v>102261</v>
      </c>
      <c r="AC37" s="3" t="s">
        <v>74</v>
      </c>
    </row>
    <row r="38" spans="1:29" x14ac:dyDescent="0.2">
      <c r="A38" s="3">
        <v>10231</v>
      </c>
      <c r="B38" t="s">
        <v>21</v>
      </c>
      <c r="C38" t="s">
        <v>2394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8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" t="s">
        <v>74</v>
      </c>
    </row>
    <row r="39" spans="1:29" x14ac:dyDescent="0.2">
      <c r="A39" s="3">
        <v>10232</v>
      </c>
      <c r="B39" t="s">
        <v>21</v>
      </c>
      <c r="C39" s="8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8" t="s">
        <v>1882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8" t="s">
        <v>1883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2392</v>
      </c>
      <c r="D42" t="s">
        <v>1937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8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2393</v>
      </c>
      <c r="D43" t="s">
        <v>1937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8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2565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8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2542</v>
      </c>
      <c r="D45" t="s">
        <v>1937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8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8" t="s">
        <v>1868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1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2480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8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8" t="s">
        <v>1869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2278</v>
      </c>
      <c r="C49" t="s">
        <v>2279</v>
      </c>
      <c r="D49" t="s">
        <v>2034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8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8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10">
        <v>70</v>
      </c>
      <c r="X50" s="10">
        <v>65</v>
      </c>
      <c r="Y50" s="10">
        <v>2.88</v>
      </c>
      <c r="Z50" s="10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2433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8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8" t="s">
        <v>2733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10">
        <v>60</v>
      </c>
      <c r="X52" s="10">
        <v>60</v>
      </c>
      <c r="Y52" s="10">
        <v>2.4</v>
      </c>
      <c r="Z52" s="10">
        <v>4.5</v>
      </c>
      <c r="AA52">
        <v>103251</v>
      </c>
      <c r="AC52" s="3" t="s">
        <v>74</v>
      </c>
    </row>
    <row r="53" spans="1:29" x14ac:dyDescent="0.2">
      <c r="A53" s="3">
        <v>10331</v>
      </c>
      <c r="B53" t="s">
        <v>209</v>
      </c>
      <c r="C53" s="8" t="s">
        <v>2017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10">
        <v>70</v>
      </c>
      <c r="X53" s="10">
        <v>120</v>
      </c>
      <c r="Y53" s="10">
        <v>2.88</v>
      </c>
      <c r="Z53" s="10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8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10">
        <v>75</v>
      </c>
      <c r="X54" s="10">
        <v>65</v>
      </c>
      <c r="Y54" s="10">
        <v>3</v>
      </c>
      <c r="Z54" s="10">
        <v>5.2</v>
      </c>
      <c r="AA54">
        <v>103381</v>
      </c>
    </row>
    <row r="55" spans="1:29" x14ac:dyDescent="0.2">
      <c r="A55" s="3">
        <v>10339</v>
      </c>
      <c r="B55" t="s">
        <v>21</v>
      </c>
      <c r="C55" s="8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10">
        <v>60</v>
      </c>
      <c r="X55" s="10">
        <v>55</v>
      </c>
      <c r="Y55" s="10">
        <v>2.5</v>
      </c>
      <c r="Z55" s="10">
        <v>4.8</v>
      </c>
      <c r="AA55">
        <v>113391</v>
      </c>
      <c r="AC55" s="3" t="s">
        <v>2474</v>
      </c>
    </row>
    <row r="56" spans="1:29" x14ac:dyDescent="0.2">
      <c r="A56" s="3">
        <v>10343</v>
      </c>
      <c r="B56" t="s">
        <v>2037</v>
      </c>
      <c r="C56" t="s">
        <v>2043</v>
      </c>
      <c r="D56" t="s">
        <v>2044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8" t="s">
        <v>1870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10">
        <v>135</v>
      </c>
      <c r="X57" s="10">
        <v>175</v>
      </c>
      <c r="Y57" s="10">
        <v>4.8</v>
      </c>
      <c r="Z57" s="10">
        <v>9</v>
      </c>
      <c r="AA57" s="6">
        <v>103451</v>
      </c>
      <c r="AB57" s="6"/>
      <c r="AC57" s="3" t="s">
        <v>2564</v>
      </c>
    </row>
    <row r="58" spans="1:29" x14ac:dyDescent="0.2">
      <c r="A58" s="3">
        <v>10352</v>
      </c>
      <c r="B58" t="s">
        <v>205</v>
      </c>
      <c r="C58" t="s">
        <v>1884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8" t="s">
        <v>2018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1885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2037</v>
      </c>
      <c r="C61" t="s">
        <v>2045</v>
      </c>
      <c r="D61" t="s">
        <v>2046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2065</v>
      </c>
      <c r="C62" t="s">
        <v>2066</v>
      </c>
      <c r="D62" t="s">
        <v>2034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8" t="s">
        <v>1871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8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8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" t="s">
        <v>74</v>
      </c>
    </row>
    <row r="66" spans="1:29" x14ac:dyDescent="0.2">
      <c r="A66" s="2">
        <v>10377</v>
      </c>
      <c r="B66" t="s">
        <v>2070</v>
      </c>
      <c r="C66" t="s">
        <v>2071</v>
      </c>
      <c r="D66" t="s">
        <v>2072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8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8" t="s">
        <v>1872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4">
        <v>10381</v>
      </c>
      <c r="B68" t="s">
        <v>206</v>
      </c>
      <c r="C68" s="8" t="s">
        <v>1873</v>
      </c>
      <c r="D68" s="3" t="s">
        <v>67</v>
      </c>
      <c r="E68" s="10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10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10">
        <v>3</v>
      </c>
      <c r="T68" s="10">
        <v>3</v>
      </c>
      <c r="U68" s="10">
        <v>3</v>
      </c>
      <c r="V68" s="10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" t="s">
        <v>2283</v>
      </c>
    </row>
    <row r="69" spans="1:29" x14ac:dyDescent="0.2">
      <c r="A69" s="3">
        <v>10388</v>
      </c>
      <c r="B69" t="s">
        <v>205</v>
      </c>
      <c r="C69" s="8" t="s">
        <v>1886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2035</v>
      </c>
      <c r="C70" t="s">
        <v>2047</v>
      </c>
      <c r="D70" t="s">
        <v>2034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4">
        <v>10397</v>
      </c>
      <c r="B71" t="s">
        <v>209</v>
      </c>
      <c r="C71" s="8" t="s">
        <v>2019</v>
      </c>
      <c r="D71" s="3" t="s">
        <v>80</v>
      </c>
      <c r="E71" s="10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10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10">
        <v>0</v>
      </c>
      <c r="T71" s="10">
        <v>0</v>
      </c>
      <c r="U71" s="10">
        <v>0</v>
      </c>
      <c r="V71" s="10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2037</v>
      </c>
      <c r="C72" t="s">
        <v>2048</v>
      </c>
      <c r="D72" t="s">
        <v>2046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2035</v>
      </c>
      <c r="C73" t="s">
        <v>2049</v>
      </c>
      <c r="D73" t="s">
        <v>2050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8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2035</v>
      </c>
      <c r="C75" t="s">
        <v>2051</v>
      </c>
      <c r="D75" t="s">
        <v>2052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4">
        <v>10409</v>
      </c>
      <c r="B76" t="s">
        <v>206</v>
      </c>
      <c r="C76" s="8" t="s">
        <v>1874</v>
      </c>
      <c r="D76" s="3" t="s">
        <v>67</v>
      </c>
      <c r="E76" s="10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10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10">
        <v>3</v>
      </c>
      <c r="T76" s="10">
        <v>3</v>
      </c>
      <c r="U76" s="10">
        <v>3</v>
      </c>
      <c r="V76" s="10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" t="s">
        <v>2564</v>
      </c>
    </row>
    <row r="77" spans="1:29" x14ac:dyDescent="0.2">
      <c r="A77" s="3">
        <v>10410</v>
      </c>
      <c r="B77" t="s">
        <v>205</v>
      </c>
      <c r="C77" t="s">
        <v>1887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4">
        <v>10418</v>
      </c>
      <c r="B78" t="s">
        <v>206</v>
      </c>
      <c r="C78" s="8" t="s">
        <v>1875</v>
      </c>
      <c r="D78" s="3" t="s">
        <v>69</v>
      </c>
      <c r="E78" s="10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10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10">
        <v>0</v>
      </c>
      <c r="T78" s="10">
        <v>0</v>
      </c>
      <c r="U78" s="10">
        <v>0</v>
      </c>
      <c r="V78" s="10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8" t="s">
        <v>1890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8" t="s">
        <v>1891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8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8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" t="s">
        <v>74</v>
      </c>
    </row>
    <row r="83" spans="1:29" x14ac:dyDescent="0.2">
      <c r="A83" s="14">
        <v>10435</v>
      </c>
      <c r="B83" t="s">
        <v>209</v>
      </c>
      <c r="C83" s="8" t="s">
        <v>2020</v>
      </c>
      <c r="D83" s="3" t="s">
        <v>3</v>
      </c>
      <c r="E83" s="10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10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10">
        <v>3</v>
      </c>
      <c r="T83" s="10">
        <v>3</v>
      </c>
      <c r="U83" s="10">
        <v>3</v>
      </c>
      <c r="V83" s="10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4">
        <v>10436</v>
      </c>
      <c r="B84" t="s">
        <v>209</v>
      </c>
      <c r="C84" s="8" t="s">
        <v>2021</v>
      </c>
      <c r="D84" s="3" t="s">
        <v>3</v>
      </c>
      <c r="E84" s="10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10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10">
        <v>3</v>
      </c>
      <c r="T84" s="10">
        <v>3</v>
      </c>
      <c r="U84" s="10">
        <v>3</v>
      </c>
      <c r="V84" s="10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8" t="s">
        <v>1888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4">
        <v>10442</v>
      </c>
      <c r="B86" t="s">
        <v>206</v>
      </c>
      <c r="C86" s="8" t="s">
        <v>1876</v>
      </c>
      <c r="D86" s="3" t="s">
        <v>70</v>
      </c>
      <c r="E86" s="10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10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10">
        <v>0</v>
      </c>
      <c r="T86" s="10">
        <v>0</v>
      </c>
      <c r="U86" s="10">
        <v>0</v>
      </c>
      <c r="V86" s="10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4">
        <v>10446</v>
      </c>
      <c r="B87" t="s">
        <v>209</v>
      </c>
      <c r="C87" s="8" t="s">
        <v>2730</v>
      </c>
      <c r="D87" s="3" t="s">
        <v>69</v>
      </c>
      <c r="E87" s="10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10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10">
        <v>0</v>
      </c>
      <c r="T87" s="10">
        <v>0</v>
      </c>
      <c r="U87" s="10">
        <v>0</v>
      </c>
      <c r="V87" s="10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4">
        <v>10448</v>
      </c>
      <c r="B88" t="s">
        <v>206</v>
      </c>
      <c r="C88" s="8" t="s">
        <v>1877</v>
      </c>
      <c r="D88" s="3" t="s">
        <v>70</v>
      </c>
      <c r="E88" s="10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10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10">
        <v>3</v>
      </c>
      <c r="T88" s="10">
        <v>3</v>
      </c>
      <c r="U88" s="10">
        <v>3</v>
      </c>
      <c r="V88" s="10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4">
        <v>10450</v>
      </c>
      <c r="B89" t="s">
        <v>206</v>
      </c>
      <c r="C89" s="8" t="s">
        <v>1671</v>
      </c>
      <c r="D89" s="3" t="s">
        <v>68</v>
      </c>
      <c r="E89" s="10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10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10">
        <v>0</v>
      </c>
      <c r="T89" s="10">
        <v>0</v>
      </c>
      <c r="U89" s="10">
        <v>0</v>
      </c>
      <c r="V89" s="10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8" t="s">
        <v>1889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4">
        <v>10454</v>
      </c>
      <c r="B91" t="s">
        <v>206</v>
      </c>
      <c r="C91" s="8" t="s">
        <v>1878</v>
      </c>
      <c r="D91" s="3" t="s">
        <v>69</v>
      </c>
      <c r="E91" s="10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10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10">
        <v>0</v>
      </c>
      <c r="T91" s="10">
        <v>0</v>
      </c>
      <c r="U91" s="10">
        <v>0</v>
      </c>
      <c r="V91" s="10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8" t="s">
        <v>2731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2065</v>
      </c>
      <c r="C93" t="s">
        <v>2067</v>
      </c>
      <c r="D93" t="s">
        <v>2068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4">
        <v>10460</v>
      </c>
      <c r="B94" t="s">
        <v>206</v>
      </c>
      <c r="C94" s="8" t="s">
        <v>1879</v>
      </c>
      <c r="D94" s="3" t="s">
        <v>67</v>
      </c>
      <c r="E94" s="10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10">
        <v>21</v>
      </c>
      <c r="O94" s="6">
        <v>3</v>
      </c>
      <c r="P94" s="6">
        <v>20</v>
      </c>
      <c r="Q94" s="6">
        <v>4</v>
      </c>
      <c r="R94">
        <f t="shared" ref="R94:R139" si="3">SUM($S94:$V94)</f>
        <v>12</v>
      </c>
      <c r="S94" s="10">
        <v>3</v>
      </c>
      <c r="T94" s="10">
        <v>3</v>
      </c>
      <c r="U94" s="10">
        <v>3</v>
      </c>
      <c r="V94" s="10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4">
        <v>10461</v>
      </c>
      <c r="B95" t="s">
        <v>209</v>
      </c>
      <c r="C95" s="8" t="s">
        <v>2022</v>
      </c>
      <c r="D95" s="3" t="s">
        <v>69</v>
      </c>
      <c r="E95" s="10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10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10">
        <v>0</v>
      </c>
      <c r="T95" s="10">
        <v>0</v>
      </c>
      <c r="U95" s="10">
        <v>0</v>
      </c>
      <c r="V95" s="10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4">
        <v>10464</v>
      </c>
      <c r="B96" t="s">
        <v>206</v>
      </c>
      <c r="C96" s="8" t="s">
        <v>2734</v>
      </c>
      <c r="D96" s="3" t="s">
        <v>67</v>
      </c>
      <c r="E96" s="10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10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10">
        <v>0</v>
      </c>
      <c r="T96" s="10">
        <v>0</v>
      </c>
      <c r="U96" s="10">
        <v>0</v>
      </c>
      <c r="V96" s="10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2728</v>
      </c>
      <c r="D97" t="s">
        <v>2729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8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" t="s">
        <v>2474</v>
      </c>
    </row>
    <row r="98" spans="1:29" x14ac:dyDescent="0.2">
      <c r="A98" s="3">
        <v>10467</v>
      </c>
      <c r="B98" t="s">
        <v>2037</v>
      </c>
      <c r="C98" t="s">
        <v>2053</v>
      </c>
      <c r="D98" t="s">
        <v>2038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" t="s">
        <v>2506</v>
      </c>
    </row>
    <row r="99" spans="1:29" x14ac:dyDescent="0.2">
      <c r="A99" s="14">
        <v>10468</v>
      </c>
      <c r="B99" t="s">
        <v>206</v>
      </c>
      <c r="C99" s="8" t="s">
        <v>1880</v>
      </c>
      <c r="D99" s="3" t="s">
        <v>69</v>
      </c>
      <c r="E99" s="10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10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10">
        <v>0</v>
      </c>
      <c r="T99" s="10">
        <v>0</v>
      </c>
      <c r="U99" s="10">
        <v>0</v>
      </c>
      <c r="V99" s="10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8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" t="s">
        <v>74</v>
      </c>
    </row>
    <row r="101" spans="1:29" x14ac:dyDescent="0.2">
      <c r="A101" s="3">
        <v>10471</v>
      </c>
      <c r="B101" t="s">
        <v>21</v>
      </c>
      <c r="C101" s="8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8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8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2732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1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8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8" t="s">
        <v>2023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1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8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8" t="s">
        <v>2024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1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8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8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" t="s">
        <v>74</v>
      </c>
    </row>
    <row r="111" spans="1:29" x14ac:dyDescent="0.2">
      <c r="A111" s="3">
        <v>10499</v>
      </c>
      <c r="B111" t="s">
        <v>206</v>
      </c>
      <c r="C111" s="8" t="s">
        <v>1881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1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9">
        <v>10502</v>
      </c>
      <c r="B112" t="s">
        <v>2226</v>
      </c>
      <c r="C112" s="29" t="s">
        <v>2227</v>
      </c>
      <c r="D112" t="s">
        <v>2228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8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</row>
    <row r="113" spans="1:29" x14ac:dyDescent="0.2">
      <c r="A113" s="29">
        <v>10506</v>
      </c>
      <c r="B113" t="s">
        <v>206</v>
      </c>
      <c r="C113" s="29" t="s">
        <v>2237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8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8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8" t="s">
        <v>2003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1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3">
        <v>2.4</v>
      </c>
      <c r="Z115" s="13">
        <v>4.5</v>
      </c>
      <c r="AA115" s="6">
        <v>105131</v>
      </c>
      <c r="AB115" s="6"/>
      <c r="AC115" s="3" t="s">
        <v>74</v>
      </c>
    </row>
    <row r="116" spans="1:29" x14ac:dyDescent="0.2">
      <c r="A116" s="29">
        <v>10514</v>
      </c>
      <c r="B116" t="s">
        <v>2223</v>
      </c>
      <c r="C116" s="29" t="s">
        <v>2224</v>
      </c>
      <c r="D116" s="3" t="s">
        <v>2225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8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9">
        <v>10520</v>
      </c>
      <c r="B117" t="s">
        <v>2220</v>
      </c>
      <c r="C117" s="29" t="s">
        <v>2221</v>
      </c>
      <c r="D117" t="s">
        <v>2222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8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9" t="s">
        <v>2255</v>
      </c>
      <c r="D118" t="s">
        <v>1937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8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2285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8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2286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8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" t="s">
        <v>2282</v>
      </c>
    </row>
    <row r="121" spans="1:29" x14ac:dyDescent="0.2">
      <c r="A121" s="29">
        <v>10524</v>
      </c>
      <c r="B121" t="s">
        <v>2229</v>
      </c>
      <c r="C121" s="29" t="s">
        <v>2230</v>
      </c>
      <c r="D121" s="3" t="s">
        <v>2222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8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9">
        <v>10532</v>
      </c>
      <c r="B122" t="s">
        <v>2223</v>
      </c>
      <c r="C122" s="29" t="s">
        <v>2231</v>
      </c>
      <c r="D122" t="s">
        <v>2232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8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2253</v>
      </c>
      <c r="C123" s="29" t="s">
        <v>2254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8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2323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8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2284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8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2287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8">
        <f t="shared" si="3"/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2356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8">
        <f t="shared" si="3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2475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8">
        <f t="shared" si="3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2735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8">
        <f t="shared" si="3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2566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8">
        <f t="shared" si="3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2567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8">
        <f t="shared" si="3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2568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8">
        <f t="shared" si="3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2253</v>
      </c>
      <c r="C133" t="s">
        <v>2736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8">
        <f t="shared" si="3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2569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8">
        <f t="shared" si="3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2669</v>
      </c>
      <c r="C135" t="s">
        <v>2670</v>
      </c>
      <c r="D135" t="s">
        <v>2671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8">
        <f t="shared" si="3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2720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8">
        <f t="shared" si="3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2727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8">
        <f t="shared" si="3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" t="s">
        <v>74</v>
      </c>
    </row>
    <row r="138" spans="1:29" x14ac:dyDescent="0.2">
      <c r="A138" s="3">
        <v>10596</v>
      </c>
      <c r="B138" t="s">
        <v>2667</v>
      </c>
      <c r="C138" t="s">
        <v>2668</v>
      </c>
      <c r="D138" t="s">
        <v>2657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8">
        <f t="shared" si="3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2656</v>
      </c>
      <c r="C139" s="2">
        <v>351</v>
      </c>
      <c r="D139" t="s">
        <v>2657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8">
        <f t="shared" si="3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</sheetData>
  <autoFilter ref="A1:AC133" xr:uid="{00000000-0009-0000-0000-000000000000}">
    <sortState xmlns:xlrd2="http://schemas.microsoft.com/office/spreadsheetml/2017/richdata2" ref="A2:AC139">
      <sortCondition ref="A1:A139"/>
    </sortState>
  </autoFilter>
  <phoneticPr fontId="2" type="noConversion"/>
  <conditionalFormatting sqref="C2:C39">
    <cfRule type="expression" dxfId="63" priority="1">
      <formula>F2=6</formula>
    </cfRule>
    <cfRule type="expression" dxfId="62" priority="2">
      <formula>F2=4</formula>
    </cfRule>
    <cfRule type="expression" dxfId="61" priority="3">
      <formula>F2=3</formula>
    </cfRule>
    <cfRule type="expression" dxfId="60" priority="4">
      <formula>F2=2</formula>
    </cfRule>
    <cfRule type="expression" dxfId="59" priority="5">
      <formula>F2=1</formula>
    </cfRule>
    <cfRule type="expression" dxfId="58" priority="6">
      <formula>F2=5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11"/>
  <sheetViews>
    <sheetView workbookViewId="0">
      <pane xSplit="3" ySplit="1" topLeftCell="I175" activePane="bottomRight" state="frozen"/>
      <selection pane="topRight" activeCell="D1" sqref="D1"/>
      <selection pane="bottomLeft" activeCell="A2" sqref="A2"/>
      <selection pane="bottomRight" activeCell="AA184" sqref="AA184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1848</v>
      </c>
      <c r="X1" t="s">
        <v>1849</v>
      </c>
      <c r="Y1" t="s">
        <v>1850</v>
      </c>
      <c r="Z1" t="s">
        <v>1851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8" t="s">
        <v>2025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8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8" t="s">
        <v>1893</v>
      </c>
      <c r="D4" s="3" t="s">
        <v>3</v>
      </c>
      <c r="E4" s="10">
        <v>72</v>
      </c>
      <c r="F4" s="10">
        <v>107</v>
      </c>
      <c r="G4" s="10">
        <v>0</v>
      </c>
      <c r="H4" s="10">
        <v>84</v>
      </c>
      <c r="I4" s="10">
        <v>50</v>
      </c>
      <c r="J4" s="6">
        <v>0</v>
      </c>
      <c r="K4" s="6">
        <v>97</v>
      </c>
      <c r="L4" s="6">
        <v>49</v>
      </c>
      <c r="M4" s="6">
        <v>37</v>
      </c>
      <c r="N4" s="10">
        <v>23</v>
      </c>
      <c r="O4" s="6">
        <v>3</v>
      </c>
      <c r="P4" s="10">
        <v>9</v>
      </c>
      <c r="Q4" s="6">
        <v>4</v>
      </c>
      <c r="R4">
        <f t="shared" si="0"/>
        <v>8</v>
      </c>
      <c r="S4" s="10">
        <v>2</v>
      </c>
      <c r="T4" s="10">
        <v>2</v>
      </c>
      <c r="U4" s="10">
        <v>2</v>
      </c>
      <c r="V4" s="10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8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8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8" t="s">
        <v>1894</v>
      </c>
      <c r="D7" s="3" t="s">
        <v>68</v>
      </c>
      <c r="E7" s="10">
        <v>100</v>
      </c>
      <c r="F7" s="10">
        <v>102</v>
      </c>
      <c r="G7" s="10">
        <v>0</v>
      </c>
      <c r="H7" s="10">
        <v>100</v>
      </c>
      <c r="I7" s="10">
        <v>67</v>
      </c>
      <c r="J7" s="6">
        <v>0</v>
      </c>
      <c r="K7" s="6">
        <v>102</v>
      </c>
      <c r="L7" s="6">
        <v>55</v>
      </c>
      <c r="M7" s="6">
        <v>49</v>
      </c>
      <c r="N7" s="10">
        <v>30.8</v>
      </c>
      <c r="O7" s="6">
        <v>3</v>
      </c>
      <c r="P7" s="10">
        <v>18</v>
      </c>
      <c r="Q7" s="6">
        <v>4</v>
      </c>
      <c r="R7">
        <f t="shared" si="0"/>
        <v>16</v>
      </c>
      <c r="S7" s="10">
        <v>4</v>
      </c>
      <c r="T7" s="10">
        <v>4</v>
      </c>
      <c r="U7" s="10">
        <v>4</v>
      </c>
      <c r="V7" s="10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8" t="s">
        <v>1895</v>
      </c>
      <c r="D8" s="3" t="s">
        <v>68</v>
      </c>
      <c r="E8" s="10">
        <v>101</v>
      </c>
      <c r="F8" s="10">
        <v>102</v>
      </c>
      <c r="G8" s="10">
        <v>30</v>
      </c>
      <c r="H8" s="10">
        <v>100</v>
      </c>
      <c r="I8" s="10">
        <v>69</v>
      </c>
      <c r="J8" s="6">
        <v>0</v>
      </c>
      <c r="K8" s="6">
        <v>102</v>
      </c>
      <c r="L8" s="6">
        <v>55</v>
      </c>
      <c r="M8" s="6">
        <v>49</v>
      </c>
      <c r="N8" s="10">
        <v>30</v>
      </c>
      <c r="O8" s="6">
        <v>3</v>
      </c>
      <c r="P8" s="10">
        <v>16</v>
      </c>
      <c r="Q8" s="6">
        <v>4</v>
      </c>
      <c r="R8">
        <f t="shared" si="0"/>
        <v>16</v>
      </c>
      <c r="S8" s="10">
        <v>4</v>
      </c>
      <c r="T8" s="10">
        <v>4</v>
      </c>
      <c r="U8" s="10">
        <v>4</v>
      </c>
      <c r="V8" s="10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8" t="s">
        <v>1896</v>
      </c>
      <c r="D9" s="3" t="s">
        <v>69</v>
      </c>
      <c r="E9" s="10">
        <v>77</v>
      </c>
      <c r="F9" s="10">
        <v>109</v>
      </c>
      <c r="G9" s="10">
        <v>0</v>
      </c>
      <c r="H9" s="10">
        <v>102</v>
      </c>
      <c r="I9" s="10">
        <v>77</v>
      </c>
      <c r="J9" s="6">
        <v>0</v>
      </c>
      <c r="K9" s="6">
        <v>101</v>
      </c>
      <c r="L9" s="6">
        <v>48</v>
      </c>
      <c r="M9" s="6">
        <v>43</v>
      </c>
      <c r="N9" s="10">
        <v>23.5</v>
      </c>
      <c r="O9" s="6">
        <v>3</v>
      </c>
      <c r="P9" s="10">
        <v>20</v>
      </c>
      <c r="Q9" s="6">
        <v>4</v>
      </c>
      <c r="R9">
        <f t="shared" si="0"/>
        <v>0</v>
      </c>
      <c r="S9" s="10">
        <v>0</v>
      </c>
      <c r="T9" s="10">
        <v>0</v>
      </c>
      <c r="U9" s="10">
        <v>0</v>
      </c>
      <c r="V9" s="10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2219</v>
      </c>
    </row>
    <row r="10" spans="1:29" x14ac:dyDescent="0.2">
      <c r="A10" s="3">
        <v>11009</v>
      </c>
      <c r="B10" t="s">
        <v>206</v>
      </c>
      <c r="C10" s="8" t="s">
        <v>1897</v>
      </c>
      <c r="D10" s="3" t="s">
        <v>69</v>
      </c>
      <c r="E10" s="10">
        <v>76</v>
      </c>
      <c r="F10" s="10">
        <v>109</v>
      </c>
      <c r="G10" s="10">
        <v>0</v>
      </c>
      <c r="H10" s="10">
        <v>102</v>
      </c>
      <c r="I10" s="10">
        <v>77</v>
      </c>
      <c r="J10" s="6">
        <v>0</v>
      </c>
      <c r="K10" s="6">
        <v>101</v>
      </c>
      <c r="L10" s="6">
        <v>48</v>
      </c>
      <c r="M10" s="6">
        <v>43</v>
      </c>
      <c r="N10" s="10">
        <v>23.5</v>
      </c>
      <c r="O10" s="6">
        <v>3</v>
      </c>
      <c r="P10" s="10">
        <v>20</v>
      </c>
      <c r="Q10" s="6">
        <v>4</v>
      </c>
      <c r="R10">
        <f t="shared" si="0"/>
        <v>8</v>
      </c>
      <c r="S10" s="10">
        <v>2</v>
      </c>
      <c r="T10" s="10">
        <v>2</v>
      </c>
      <c r="U10" s="10">
        <v>2</v>
      </c>
      <c r="V10" s="10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2219</v>
      </c>
    </row>
    <row r="11" spans="1:29" x14ac:dyDescent="0.2">
      <c r="A11" s="3">
        <v>11010</v>
      </c>
      <c r="B11" t="s">
        <v>206</v>
      </c>
      <c r="C11" s="8" t="s">
        <v>1898</v>
      </c>
      <c r="D11" s="3" t="s">
        <v>69</v>
      </c>
      <c r="E11" s="10">
        <v>79</v>
      </c>
      <c r="F11" s="10">
        <v>100</v>
      </c>
      <c r="G11" s="10">
        <v>0</v>
      </c>
      <c r="H11" s="10">
        <v>100</v>
      </c>
      <c r="I11" s="10">
        <v>92</v>
      </c>
      <c r="J11" s="6">
        <v>0</v>
      </c>
      <c r="K11" s="6">
        <v>102</v>
      </c>
      <c r="L11" s="6">
        <v>55</v>
      </c>
      <c r="M11" s="6">
        <v>45</v>
      </c>
      <c r="N11" s="10">
        <v>29</v>
      </c>
      <c r="O11" s="6">
        <v>3</v>
      </c>
      <c r="P11" s="10">
        <v>10</v>
      </c>
      <c r="Q11" s="6">
        <v>4</v>
      </c>
      <c r="R11">
        <f t="shared" si="0"/>
        <v>16</v>
      </c>
      <c r="S11" s="10">
        <v>4</v>
      </c>
      <c r="T11" s="10">
        <v>4</v>
      </c>
      <c r="U11" s="10">
        <v>4</v>
      </c>
      <c r="V11" s="10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8" t="s">
        <v>1899</v>
      </c>
      <c r="D12" s="3" t="s">
        <v>67</v>
      </c>
      <c r="E12" s="10">
        <v>72</v>
      </c>
      <c r="F12" s="10">
        <v>90</v>
      </c>
      <c r="G12" s="10">
        <v>0</v>
      </c>
      <c r="H12" s="10">
        <v>93</v>
      </c>
      <c r="I12" s="10">
        <v>97</v>
      </c>
      <c r="J12" s="6">
        <v>0</v>
      </c>
      <c r="K12" s="6">
        <v>100</v>
      </c>
      <c r="L12" s="6">
        <v>44</v>
      </c>
      <c r="M12" s="6">
        <v>42</v>
      </c>
      <c r="N12" s="10">
        <v>21</v>
      </c>
      <c r="O12" s="6">
        <v>3</v>
      </c>
      <c r="P12" s="10">
        <v>30</v>
      </c>
      <c r="Q12" s="6">
        <v>4</v>
      </c>
      <c r="R12">
        <f t="shared" si="0"/>
        <v>12</v>
      </c>
      <c r="S12" s="10">
        <v>3</v>
      </c>
      <c r="T12" s="10">
        <v>3</v>
      </c>
      <c r="U12" s="10">
        <v>3</v>
      </c>
      <c r="V12" s="10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8" t="s">
        <v>1900</v>
      </c>
      <c r="D13" s="3" t="s">
        <v>67</v>
      </c>
      <c r="E13" s="10">
        <v>72</v>
      </c>
      <c r="F13" s="10">
        <v>90</v>
      </c>
      <c r="G13" s="10">
        <v>0</v>
      </c>
      <c r="H13" s="10">
        <v>93</v>
      </c>
      <c r="I13" s="10">
        <v>97</v>
      </c>
      <c r="J13" s="6">
        <v>0</v>
      </c>
      <c r="K13" s="6">
        <v>100</v>
      </c>
      <c r="L13" s="6">
        <v>44</v>
      </c>
      <c r="M13" s="6">
        <v>42</v>
      </c>
      <c r="N13" s="10">
        <v>21</v>
      </c>
      <c r="O13" s="6">
        <v>3</v>
      </c>
      <c r="P13" s="10">
        <v>10</v>
      </c>
      <c r="Q13" s="6">
        <v>4</v>
      </c>
      <c r="R13">
        <f t="shared" si="0"/>
        <v>12</v>
      </c>
      <c r="S13" s="10">
        <v>3</v>
      </c>
      <c r="T13" s="10">
        <v>3</v>
      </c>
      <c r="U13" s="10">
        <v>3</v>
      </c>
      <c r="V13" s="10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8" t="s">
        <v>1901</v>
      </c>
      <c r="D14" s="3" t="s">
        <v>71</v>
      </c>
      <c r="E14" s="10">
        <v>64</v>
      </c>
      <c r="F14" s="10">
        <v>89</v>
      </c>
      <c r="G14" s="10">
        <v>0</v>
      </c>
      <c r="H14" s="10">
        <v>89</v>
      </c>
      <c r="I14" s="10">
        <v>70</v>
      </c>
      <c r="J14" s="6">
        <v>0</v>
      </c>
      <c r="K14" s="6">
        <v>102</v>
      </c>
      <c r="L14" s="6">
        <v>63</v>
      </c>
      <c r="M14" s="6">
        <v>40</v>
      </c>
      <c r="N14" s="10">
        <v>27</v>
      </c>
      <c r="O14" s="6">
        <v>3</v>
      </c>
      <c r="P14" s="10">
        <v>20</v>
      </c>
      <c r="Q14" s="6">
        <v>4</v>
      </c>
      <c r="R14">
        <f t="shared" si="0"/>
        <v>12</v>
      </c>
      <c r="S14" s="10">
        <v>3</v>
      </c>
      <c r="T14" s="10">
        <v>3</v>
      </c>
      <c r="U14" s="10">
        <v>3</v>
      </c>
      <c r="V14" s="10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8" t="s">
        <v>1902</v>
      </c>
      <c r="D15" s="3" t="s">
        <v>3</v>
      </c>
      <c r="E15" s="10">
        <v>68</v>
      </c>
      <c r="F15" s="10">
        <v>96</v>
      </c>
      <c r="G15" s="10">
        <v>0</v>
      </c>
      <c r="H15" s="10">
        <v>73</v>
      </c>
      <c r="I15" s="10">
        <v>67</v>
      </c>
      <c r="J15" s="6">
        <v>0</v>
      </c>
      <c r="K15" s="6">
        <v>100</v>
      </c>
      <c r="L15" s="6">
        <v>72</v>
      </c>
      <c r="M15" s="6">
        <v>45</v>
      </c>
      <c r="N15" s="10">
        <v>30.3</v>
      </c>
      <c r="O15" s="6">
        <v>3</v>
      </c>
      <c r="P15" s="10">
        <v>15</v>
      </c>
      <c r="Q15" s="6">
        <v>4</v>
      </c>
      <c r="R15">
        <f t="shared" si="0"/>
        <v>12</v>
      </c>
      <c r="S15" s="10">
        <v>3</v>
      </c>
      <c r="T15" s="10">
        <v>3</v>
      </c>
      <c r="U15" s="10">
        <v>3</v>
      </c>
      <c r="V15" s="10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8" t="s">
        <v>2026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110192</v>
      </c>
    </row>
    <row r="17" spans="1:28" x14ac:dyDescent="0.2">
      <c r="A17" s="3">
        <v>11019</v>
      </c>
      <c r="B17" t="s">
        <v>209</v>
      </c>
      <c r="C17" s="8" t="s">
        <v>2027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2033</v>
      </c>
      <c r="C18" t="s">
        <v>2029</v>
      </c>
      <c r="D18" t="s">
        <v>2034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8">
        <v>110201</v>
      </c>
    </row>
    <row r="19" spans="1:28" x14ac:dyDescent="0.2">
      <c r="A19" s="3">
        <v>11021</v>
      </c>
      <c r="B19" t="s">
        <v>2033</v>
      </c>
      <c r="C19" t="s">
        <v>2030</v>
      </c>
      <c r="D19" t="s">
        <v>2034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8">
        <v>110211</v>
      </c>
    </row>
    <row r="20" spans="1:28" x14ac:dyDescent="0.2">
      <c r="A20" s="3">
        <v>11022</v>
      </c>
      <c r="B20" t="s">
        <v>21</v>
      </c>
      <c r="C20" s="8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8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8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8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8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8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8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8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8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8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1914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1915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1916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8" x14ac:dyDescent="0.2">
      <c r="A33" s="3">
        <v>11035</v>
      </c>
      <c r="B33" t="s">
        <v>205</v>
      </c>
      <c r="C33" t="s">
        <v>1917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8" x14ac:dyDescent="0.2">
      <c r="A34" s="3">
        <v>11036</v>
      </c>
      <c r="B34" t="s">
        <v>205</v>
      </c>
      <c r="C34" t="s">
        <v>1918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8" x14ac:dyDescent="0.2">
      <c r="A35" s="3">
        <v>11037</v>
      </c>
      <c r="B35" t="s">
        <v>205</v>
      </c>
      <c r="C35" t="s">
        <v>1919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8" x14ac:dyDescent="0.2">
      <c r="A36" s="3">
        <v>11038</v>
      </c>
      <c r="B36" t="s">
        <v>205</v>
      </c>
      <c r="C36" t="s">
        <v>1920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8" x14ac:dyDescent="0.2">
      <c r="A37" s="3">
        <v>11039</v>
      </c>
      <c r="B37" t="s">
        <v>205</v>
      </c>
      <c r="C37" t="s">
        <v>1921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8" x14ac:dyDescent="0.2">
      <c r="A38" s="3">
        <v>11040</v>
      </c>
      <c r="B38" t="s">
        <v>205</v>
      </c>
      <c r="C38" t="s">
        <v>1922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8" x14ac:dyDescent="0.2">
      <c r="A39" s="2">
        <v>11043</v>
      </c>
      <c r="B39" t="s">
        <v>2070</v>
      </c>
      <c r="C39" t="s">
        <v>2073</v>
      </c>
      <c r="D39" t="s">
        <v>2072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8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8" x14ac:dyDescent="0.2">
      <c r="A40" s="2">
        <v>11044</v>
      </c>
      <c r="B40" t="s">
        <v>2070</v>
      </c>
      <c r="C40" t="s">
        <v>2074</v>
      </c>
      <c r="D40" t="s">
        <v>2072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8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8" x14ac:dyDescent="0.2">
      <c r="A41" s="3">
        <v>11045</v>
      </c>
      <c r="B41" t="s">
        <v>204</v>
      </c>
      <c r="C41" t="s">
        <v>2280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8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2">
        <v>110451</v>
      </c>
    </row>
    <row r="42" spans="1:28" x14ac:dyDescent="0.2">
      <c r="A42" s="3">
        <v>11046</v>
      </c>
      <c r="B42" t="s">
        <v>204</v>
      </c>
      <c r="C42" t="s">
        <v>2281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8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2">
        <v>110461</v>
      </c>
    </row>
    <row r="43" spans="1:28" x14ac:dyDescent="0.2">
      <c r="A43" s="3">
        <v>11050</v>
      </c>
      <c r="B43" t="s">
        <v>204</v>
      </c>
      <c r="C43" t="s">
        <v>1935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8" x14ac:dyDescent="0.2">
      <c r="A44" s="3">
        <v>11054</v>
      </c>
      <c r="B44" t="s">
        <v>204</v>
      </c>
      <c r="C44" t="s">
        <v>1936</v>
      </c>
      <c r="D44" s="3" t="s">
        <v>1937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8" x14ac:dyDescent="0.2">
      <c r="A45" s="3">
        <v>11057</v>
      </c>
      <c r="B45" t="s">
        <v>204</v>
      </c>
      <c r="C45" t="s">
        <v>1938</v>
      </c>
      <c r="D45" s="3" t="s">
        <v>67</v>
      </c>
      <c r="E45" s="6">
        <v>42</v>
      </c>
      <c r="F45" s="6">
        <v>69</v>
      </c>
      <c r="G45" s="6">
        <v>53</v>
      </c>
      <c r="H45" s="6">
        <v>49</v>
      </c>
      <c r="I45" s="6">
        <v>100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9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110571</v>
      </c>
      <c r="AB45" s="6"/>
    </row>
    <row r="46" spans="1:28" x14ac:dyDescent="0.2">
      <c r="A46" s="3">
        <v>11059</v>
      </c>
      <c r="B46" t="s">
        <v>204</v>
      </c>
      <c r="C46" t="s">
        <v>1939</v>
      </c>
      <c r="D46" s="3" t="s">
        <v>67</v>
      </c>
      <c r="E46" s="6">
        <v>48</v>
      </c>
      <c r="F46" s="6">
        <v>71</v>
      </c>
      <c r="G46" s="6">
        <v>0</v>
      </c>
      <c r="H46" s="6">
        <v>57</v>
      </c>
      <c r="I46" s="6">
        <v>85</v>
      </c>
      <c r="J46" s="6">
        <v>80</v>
      </c>
      <c r="K46" s="6">
        <v>97</v>
      </c>
      <c r="L46" s="6">
        <v>78</v>
      </c>
      <c r="M46" s="6">
        <v>55</v>
      </c>
      <c r="N46" s="6">
        <v>31.5</v>
      </c>
      <c r="O46" s="6">
        <v>2</v>
      </c>
      <c r="P46" s="6">
        <v>15</v>
      </c>
      <c r="Q46" s="6">
        <v>3</v>
      </c>
      <c r="R46">
        <f t="shared" si="0"/>
        <v>12</v>
      </c>
      <c r="S46" s="6">
        <v>4</v>
      </c>
      <c r="T46" s="6">
        <v>4</v>
      </c>
      <c r="U46" s="6">
        <v>4</v>
      </c>
      <c r="V46" s="6">
        <v>0</v>
      </c>
      <c r="W46" s="6">
        <v>30</v>
      </c>
      <c r="X46" s="6">
        <v>35</v>
      </c>
      <c r="Y46" s="6">
        <v>0.8</v>
      </c>
      <c r="Z46" s="6">
        <v>1.5</v>
      </c>
      <c r="AA46" s="6">
        <v>110591</v>
      </c>
      <c r="AB46" s="6">
        <v>110592</v>
      </c>
    </row>
    <row r="47" spans="1:28" x14ac:dyDescent="0.2">
      <c r="A47" s="3">
        <v>11062</v>
      </c>
      <c r="B47" t="s">
        <v>2429</v>
      </c>
      <c r="C47" t="s">
        <v>2430</v>
      </c>
      <c r="D47" t="s">
        <v>2050</v>
      </c>
      <c r="E47">
        <v>48</v>
      </c>
      <c r="F47">
        <v>76</v>
      </c>
      <c r="G47">
        <v>0</v>
      </c>
      <c r="H47">
        <v>62</v>
      </c>
      <c r="I47">
        <v>59</v>
      </c>
      <c r="J47">
        <v>0</v>
      </c>
      <c r="K47">
        <v>93</v>
      </c>
      <c r="L47">
        <v>51</v>
      </c>
      <c r="M47">
        <v>34</v>
      </c>
      <c r="N47">
        <v>12.2</v>
      </c>
      <c r="O47">
        <v>3</v>
      </c>
      <c r="P47">
        <v>20</v>
      </c>
      <c r="Q47">
        <v>3</v>
      </c>
      <c r="R47" s="18">
        <f t="shared" si="0"/>
        <v>0</v>
      </c>
      <c r="S47">
        <v>0</v>
      </c>
      <c r="T47">
        <v>0</v>
      </c>
      <c r="U47">
        <v>0</v>
      </c>
      <c r="V47">
        <v>0</v>
      </c>
      <c r="W47">
        <v>15</v>
      </c>
      <c r="X47">
        <v>30</v>
      </c>
      <c r="Y47">
        <v>0.64</v>
      </c>
      <c r="Z47">
        <v>1.2</v>
      </c>
      <c r="AA47">
        <v>110621</v>
      </c>
    </row>
    <row r="48" spans="1:28" x14ac:dyDescent="0.2">
      <c r="A48" s="3">
        <v>11063</v>
      </c>
      <c r="B48" t="s">
        <v>2429</v>
      </c>
      <c r="C48" t="s">
        <v>2431</v>
      </c>
      <c r="D48" t="s">
        <v>2050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18</v>
      </c>
      <c r="Q48">
        <v>3</v>
      </c>
      <c r="R48" s="18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11064</v>
      </c>
      <c r="B49" t="s">
        <v>203</v>
      </c>
      <c r="C49" t="s">
        <v>1944</v>
      </c>
      <c r="D49" s="3" t="s">
        <v>3</v>
      </c>
      <c r="E49" s="6">
        <v>30</v>
      </c>
      <c r="F49" s="6">
        <v>37</v>
      </c>
      <c r="G49" s="6">
        <v>91</v>
      </c>
      <c r="H49" s="6">
        <v>37</v>
      </c>
      <c r="I49" s="6">
        <v>46</v>
      </c>
      <c r="J49" s="6">
        <v>64</v>
      </c>
      <c r="K49" s="6">
        <v>93</v>
      </c>
      <c r="L49" s="6">
        <v>97</v>
      </c>
      <c r="M49" s="6">
        <v>40</v>
      </c>
      <c r="N49" s="6">
        <v>37</v>
      </c>
      <c r="O49" s="6">
        <v>1</v>
      </c>
      <c r="P49" s="6">
        <v>17</v>
      </c>
      <c r="Q49" s="6">
        <v>3</v>
      </c>
      <c r="R49">
        <f t="shared" si="0"/>
        <v>0</v>
      </c>
      <c r="S49" s="6">
        <v>0</v>
      </c>
      <c r="T49" s="6">
        <v>0</v>
      </c>
      <c r="U49" s="6">
        <v>0</v>
      </c>
      <c r="V49" s="6">
        <v>0</v>
      </c>
      <c r="W49" s="6">
        <v>20</v>
      </c>
      <c r="X49" s="6">
        <v>30</v>
      </c>
      <c r="Y49" s="6">
        <v>0.8</v>
      </c>
      <c r="Z49" s="6">
        <v>1.5</v>
      </c>
      <c r="AA49" s="6">
        <v>110641</v>
      </c>
      <c r="AB49" s="6">
        <v>110642</v>
      </c>
      <c r="AC49" s="3" t="s">
        <v>2002</v>
      </c>
    </row>
    <row r="50" spans="1:29" x14ac:dyDescent="0.2">
      <c r="A50" s="3">
        <v>11065</v>
      </c>
      <c r="B50" t="s">
        <v>203</v>
      </c>
      <c r="C50" t="s">
        <v>1945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92</v>
      </c>
      <c r="L50" s="6">
        <v>97</v>
      </c>
      <c r="M50" s="6">
        <v>40</v>
      </c>
      <c r="N50" s="6">
        <v>37</v>
      </c>
      <c r="O50" s="6">
        <v>1</v>
      </c>
      <c r="P50" s="6">
        <v>10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25</v>
      </c>
      <c r="Y50" s="6">
        <v>0.8</v>
      </c>
      <c r="Z50" s="6">
        <v>1.65</v>
      </c>
      <c r="AA50" s="6">
        <v>110651</v>
      </c>
      <c r="AB50" s="6"/>
      <c r="AC50" s="3" t="s">
        <v>2002</v>
      </c>
    </row>
    <row r="51" spans="1:29" x14ac:dyDescent="0.2">
      <c r="A51" s="3">
        <v>11066</v>
      </c>
      <c r="B51" t="s">
        <v>203</v>
      </c>
      <c r="C51" t="s">
        <v>1946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9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110661</v>
      </c>
      <c r="AB51" s="6"/>
      <c r="AC51" s="3" t="s">
        <v>2002</v>
      </c>
    </row>
    <row r="52" spans="1:29" x14ac:dyDescent="0.2">
      <c r="A52" s="3">
        <v>11067</v>
      </c>
      <c r="B52" t="s">
        <v>203</v>
      </c>
      <c r="C52" t="s">
        <v>1947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92</v>
      </c>
      <c r="M52" s="6">
        <v>40</v>
      </c>
      <c r="N52" s="6">
        <v>37</v>
      </c>
      <c r="O52" s="6">
        <v>1</v>
      </c>
      <c r="P52" s="6">
        <v>10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110671</v>
      </c>
      <c r="AB52" s="6"/>
      <c r="AC52" s="3" t="s">
        <v>2002</v>
      </c>
    </row>
    <row r="53" spans="1:29" x14ac:dyDescent="0.2">
      <c r="A53" s="3">
        <v>11068</v>
      </c>
      <c r="B53" t="s">
        <v>203</v>
      </c>
      <c r="C53" t="s">
        <v>1948</v>
      </c>
      <c r="D53" s="3" t="s">
        <v>3</v>
      </c>
      <c r="E53" s="6">
        <v>30</v>
      </c>
      <c r="F53" s="6">
        <v>37</v>
      </c>
      <c r="G53" s="6">
        <v>91</v>
      </c>
      <c r="H53" s="6">
        <v>38</v>
      </c>
      <c r="I53" s="6">
        <v>43</v>
      </c>
      <c r="J53" s="6">
        <v>69</v>
      </c>
      <c r="K53" s="6">
        <v>93</v>
      </c>
      <c r="L53" s="6">
        <v>97</v>
      </c>
      <c r="M53" s="6">
        <v>34</v>
      </c>
      <c r="N53" s="6">
        <v>38</v>
      </c>
      <c r="O53" s="6">
        <v>1</v>
      </c>
      <c r="P53" s="6">
        <v>12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15</v>
      </c>
      <c r="X53" s="6">
        <v>20</v>
      </c>
      <c r="Y53" s="6">
        <v>0.48</v>
      </c>
      <c r="Z53" s="6">
        <v>0.9</v>
      </c>
      <c r="AA53" s="6">
        <v>110681</v>
      </c>
      <c r="AB53" s="6"/>
      <c r="AC53" s="3" t="s">
        <v>2002</v>
      </c>
    </row>
    <row r="54" spans="1:29" x14ac:dyDescent="0.2">
      <c r="A54" s="3">
        <v>11069</v>
      </c>
      <c r="B54" t="s">
        <v>203</v>
      </c>
      <c r="C54" t="s">
        <v>1949</v>
      </c>
      <c r="D54" s="3" t="s">
        <v>80</v>
      </c>
      <c r="E54" s="6">
        <v>35</v>
      </c>
      <c r="F54" s="6">
        <v>38</v>
      </c>
      <c r="G54" s="6">
        <v>80</v>
      </c>
      <c r="H54" s="6">
        <v>40</v>
      </c>
      <c r="I54" s="6">
        <v>48</v>
      </c>
      <c r="J54" s="6">
        <v>74</v>
      </c>
      <c r="K54" s="6">
        <v>93</v>
      </c>
      <c r="L54" s="6">
        <v>97</v>
      </c>
      <c r="M54" s="6">
        <v>33</v>
      </c>
      <c r="N54" s="6">
        <v>38</v>
      </c>
      <c r="O54" s="6">
        <v>1</v>
      </c>
      <c r="P54" s="6">
        <v>25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110691</v>
      </c>
      <c r="AB54" s="6"/>
      <c r="AC54" s="3" t="s">
        <v>2002</v>
      </c>
    </row>
    <row r="55" spans="1:29" x14ac:dyDescent="0.2">
      <c r="A55" s="3">
        <v>11070</v>
      </c>
      <c r="B55" t="s">
        <v>203</v>
      </c>
      <c r="C55" t="s">
        <v>1950</v>
      </c>
      <c r="D55" s="3" t="s">
        <v>3</v>
      </c>
      <c r="E55" s="6">
        <v>30</v>
      </c>
      <c r="F55" s="6">
        <v>37</v>
      </c>
      <c r="G55" s="6">
        <v>91</v>
      </c>
      <c r="H55" s="6">
        <v>38</v>
      </c>
      <c r="I55" s="6">
        <v>43</v>
      </c>
      <c r="J55" s="6">
        <v>69</v>
      </c>
      <c r="K55" s="6">
        <v>93</v>
      </c>
      <c r="L55" s="6">
        <v>97</v>
      </c>
      <c r="M55" s="6">
        <v>40</v>
      </c>
      <c r="N55" s="6">
        <v>38</v>
      </c>
      <c r="O55" s="6">
        <v>1</v>
      </c>
      <c r="P55" s="6">
        <v>12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110701</v>
      </c>
      <c r="AB55" s="6"/>
      <c r="AC55" s="3" t="s">
        <v>2002</v>
      </c>
    </row>
    <row r="56" spans="1:29" x14ac:dyDescent="0.2">
      <c r="A56" s="3">
        <v>11071</v>
      </c>
      <c r="B56" t="s">
        <v>203</v>
      </c>
      <c r="C56" t="s">
        <v>1951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10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110711</v>
      </c>
      <c r="AB56" s="6"/>
      <c r="AC56" s="3" t="s">
        <v>2002</v>
      </c>
    </row>
    <row r="57" spans="1:29" x14ac:dyDescent="0.2">
      <c r="A57" s="3">
        <v>11072</v>
      </c>
      <c r="B57" t="s">
        <v>203</v>
      </c>
      <c r="C57" t="s">
        <v>1952</v>
      </c>
      <c r="D57" s="3" t="s">
        <v>3</v>
      </c>
      <c r="E57" s="6">
        <v>30</v>
      </c>
      <c r="F57" s="6">
        <v>40</v>
      </c>
      <c r="G57" s="6">
        <v>95</v>
      </c>
      <c r="H57" s="6">
        <v>38</v>
      </c>
      <c r="I57" s="6">
        <v>48</v>
      </c>
      <c r="J57" s="6">
        <v>64</v>
      </c>
      <c r="K57" s="6">
        <v>93</v>
      </c>
      <c r="L57" s="6">
        <v>97</v>
      </c>
      <c r="M57" s="6">
        <v>41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110721</v>
      </c>
      <c r="AB57" s="6"/>
      <c r="AC57" s="3" t="s">
        <v>2002</v>
      </c>
    </row>
    <row r="58" spans="1:29" x14ac:dyDescent="0.2">
      <c r="A58" s="3">
        <v>11073</v>
      </c>
      <c r="B58" t="s">
        <v>203</v>
      </c>
      <c r="C58" t="s">
        <v>1953</v>
      </c>
      <c r="D58" s="3" t="s">
        <v>3</v>
      </c>
      <c r="E58" s="6">
        <v>30</v>
      </c>
      <c r="F58" s="6">
        <v>37</v>
      </c>
      <c r="G58" s="6">
        <v>91</v>
      </c>
      <c r="H58" s="6">
        <v>38</v>
      </c>
      <c r="I58" s="6">
        <v>48</v>
      </c>
      <c r="J58" s="6">
        <v>64</v>
      </c>
      <c r="K58" s="6">
        <v>92</v>
      </c>
      <c r="L58" s="6">
        <v>97</v>
      </c>
      <c r="M58" s="6">
        <v>40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110701</v>
      </c>
      <c r="AB58" s="6"/>
      <c r="AC58" s="3" t="s">
        <v>2002</v>
      </c>
    </row>
    <row r="59" spans="1:29" x14ac:dyDescent="0.2">
      <c r="A59" s="3">
        <v>11074</v>
      </c>
      <c r="B59" t="s">
        <v>203</v>
      </c>
      <c r="C59" t="s">
        <v>1954</v>
      </c>
      <c r="D59" s="3" t="s">
        <v>68</v>
      </c>
      <c r="E59" s="6">
        <v>38</v>
      </c>
      <c r="F59" s="6">
        <v>38</v>
      </c>
      <c r="G59" s="6">
        <v>79</v>
      </c>
      <c r="H59" s="6">
        <v>40</v>
      </c>
      <c r="I59" s="6">
        <v>46</v>
      </c>
      <c r="J59" s="6">
        <v>66</v>
      </c>
      <c r="K59" s="6">
        <v>93</v>
      </c>
      <c r="L59" s="6">
        <v>92</v>
      </c>
      <c r="M59" s="6">
        <v>35</v>
      </c>
      <c r="N59" s="6">
        <v>38.200000000000003</v>
      </c>
      <c r="O59" s="6">
        <v>1</v>
      </c>
      <c r="P59" s="6">
        <v>15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10</v>
      </c>
      <c r="X59" s="6">
        <v>20</v>
      </c>
      <c r="Y59" s="6">
        <v>0.48</v>
      </c>
      <c r="Z59" s="6">
        <v>0.99</v>
      </c>
      <c r="AA59" s="6">
        <v>110741</v>
      </c>
      <c r="AB59" s="6"/>
      <c r="AC59" s="3" t="s">
        <v>2082</v>
      </c>
    </row>
    <row r="60" spans="1:29" x14ac:dyDescent="0.2">
      <c r="A60" s="3">
        <v>11075</v>
      </c>
      <c r="B60" t="s">
        <v>203</v>
      </c>
      <c r="C60" t="s">
        <v>1955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33</v>
      </c>
      <c r="N60" s="6">
        <v>38.200000000000003</v>
      </c>
      <c r="O60" s="6">
        <v>1</v>
      </c>
      <c r="P60" s="6">
        <v>10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110751</v>
      </c>
      <c r="AB60" s="6">
        <v>110752</v>
      </c>
      <c r="AC60" s="3" t="s">
        <v>2082</v>
      </c>
    </row>
    <row r="61" spans="1:29" x14ac:dyDescent="0.2">
      <c r="A61" s="3">
        <v>11076</v>
      </c>
      <c r="B61" t="s">
        <v>203</v>
      </c>
      <c r="C61" t="s">
        <v>1956</v>
      </c>
      <c r="D61" s="3" t="s">
        <v>68</v>
      </c>
      <c r="E61" s="6">
        <v>40</v>
      </c>
      <c r="F61" s="6">
        <v>40</v>
      </c>
      <c r="G61" s="6">
        <v>81</v>
      </c>
      <c r="H61" s="6">
        <v>41</v>
      </c>
      <c r="I61" s="6">
        <v>45</v>
      </c>
      <c r="J61" s="6">
        <v>66</v>
      </c>
      <c r="K61" s="6">
        <v>93</v>
      </c>
      <c r="L61" s="6">
        <v>92</v>
      </c>
      <c r="M61" s="6">
        <v>35</v>
      </c>
      <c r="N61" s="6">
        <v>38.5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110761</v>
      </c>
      <c r="AB61" s="6"/>
      <c r="AC61" s="3" t="s">
        <v>2082</v>
      </c>
    </row>
    <row r="62" spans="1:29" x14ac:dyDescent="0.2">
      <c r="A62" s="3">
        <v>11077</v>
      </c>
      <c r="B62" t="s">
        <v>203</v>
      </c>
      <c r="C62" t="s">
        <v>1957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47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110771</v>
      </c>
      <c r="AB62" s="6"/>
      <c r="AC62" s="3" t="s">
        <v>2082</v>
      </c>
    </row>
    <row r="63" spans="1:29" x14ac:dyDescent="0.2">
      <c r="A63" s="3">
        <v>11080</v>
      </c>
      <c r="B63" t="s">
        <v>203</v>
      </c>
      <c r="C63" t="s">
        <v>1958</v>
      </c>
      <c r="D63" s="3" t="s">
        <v>68</v>
      </c>
      <c r="E63" s="6">
        <v>42</v>
      </c>
      <c r="F63" s="6">
        <v>40</v>
      </c>
      <c r="G63" s="6">
        <v>79</v>
      </c>
      <c r="H63" s="6">
        <v>43</v>
      </c>
      <c r="I63" s="6">
        <v>46</v>
      </c>
      <c r="J63" s="6">
        <v>66</v>
      </c>
      <c r="K63" s="6">
        <v>93</v>
      </c>
      <c r="L63" s="6">
        <v>90</v>
      </c>
      <c r="M63" s="6">
        <v>33</v>
      </c>
      <c r="N63" s="6">
        <v>36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110801</v>
      </c>
      <c r="AB63" s="6"/>
      <c r="AC63" s="3" t="s">
        <v>2082</v>
      </c>
    </row>
    <row r="64" spans="1:29" x14ac:dyDescent="0.2">
      <c r="A64" s="3">
        <v>11081</v>
      </c>
      <c r="B64" t="s">
        <v>203</v>
      </c>
      <c r="C64" t="s">
        <v>1959</v>
      </c>
      <c r="D64" s="3" t="s">
        <v>69</v>
      </c>
      <c r="E64" s="6">
        <v>28</v>
      </c>
      <c r="F64" s="6">
        <v>37</v>
      </c>
      <c r="G64" s="6">
        <v>65</v>
      </c>
      <c r="H64" s="6">
        <v>33</v>
      </c>
      <c r="I64" s="6">
        <v>60</v>
      </c>
      <c r="J64" s="6">
        <v>94</v>
      </c>
      <c r="K64" s="6">
        <v>93</v>
      </c>
      <c r="L64" s="6">
        <v>87</v>
      </c>
      <c r="M64" s="6">
        <v>34</v>
      </c>
      <c r="N64" s="6">
        <v>20</v>
      </c>
      <c r="O64" s="6">
        <v>1</v>
      </c>
      <c r="P64" s="6">
        <v>13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10</v>
      </c>
      <c r="X64" s="6">
        <v>25</v>
      </c>
      <c r="Y64" s="6">
        <v>0.48</v>
      </c>
      <c r="Z64" s="6">
        <v>0.9</v>
      </c>
      <c r="AA64" s="6">
        <v>110811</v>
      </c>
      <c r="AB64" s="6"/>
    </row>
    <row r="65" spans="1:29" x14ac:dyDescent="0.2">
      <c r="A65" s="3">
        <v>11082</v>
      </c>
      <c r="B65" t="s">
        <v>203</v>
      </c>
      <c r="C65" t="s">
        <v>666</v>
      </c>
      <c r="D65" s="3" t="s">
        <v>69</v>
      </c>
      <c r="E65" s="6">
        <v>29</v>
      </c>
      <c r="F65" s="6">
        <v>38</v>
      </c>
      <c r="G65" s="6">
        <v>79</v>
      </c>
      <c r="H65" s="6">
        <v>47</v>
      </c>
      <c r="I65" s="6">
        <v>50</v>
      </c>
      <c r="J65" s="6">
        <v>77</v>
      </c>
      <c r="K65" s="6">
        <v>93</v>
      </c>
      <c r="L65" s="6">
        <v>90</v>
      </c>
      <c r="M65" s="6">
        <v>34</v>
      </c>
      <c r="N65" s="6">
        <v>36</v>
      </c>
      <c r="O65" s="6">
        <v>1</v>
      </c>
      <c r="P65" s="6">
        <v>8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25</v>
      </c>
      <c r="Y65" s="6">
        <v>0.48</v>
      </c>
      <c r="Z65" s="6">
        <v>0.9</v>
      </c>
      <c r="AA65" s="6">
        <v>110821</v>
      </c>
      <c r="AB65" s="6">
        <v>110822</v>
      </c>
    </row>
    <row r="66" spans="1:29" x14ac:dyDescent="0.2">
      <c r="A66" s="3">
        <v>11083</v>
      </c>
      <c r="B66" t="s">
        <v>203</v>
      </c>
      <c r="C66" t="s">
        <v>1960</v>
      </c>
      <c r="D66" s="3" t="s">
        <v>69</v>
      </c>
      <c r="E66" s="6">
        <v>29</v>
      </c>
      <c r="F66" s="6">
        <v>40</v>
      </c>
      <c r="G66" s="6">
        <v>79</v>
      </c>
      <c r="H66" s="6">
        <v>37</v>
      </c>
      <c r="I66" s="6">
        <v>55</v>
      </c>
      <c r="J66" s="6">
        <v>77</v>
      </c>
      <c r="K66" s="6">
        <v>92</v>
      </c>
      <c r="L66" s="6">
        <v>90</v>
      </c>
      <c r="M66" s="6">
        <v>34</v>
      </c>
      <c r="N66" s="6">
        <v>36</v>
      </c>
      <c r="O66" s="6">
        <v>1</v>
      </c>
      <c r="P66" s="6">
        <v>15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110831</v>
      </c>
      <c r="AB66" s="6"/>
    </row>
    <row r="67" spans="1:29" x14ac:dyDescent="0.2">
      <c r="A67" s="3">
        <v>11084</v>
      </c>
      <c r="B67" t="s">
        <v>203</v>
      </c>
      <c r="C67" t="s">
        <v>1961</v>
      </c>
      <c r="D67" s="3" t="s">
        <v>69</v>
      </c>
      <c r="E67" s="6">
        <v>29</v>
      </c>
      <c r="F67" s="6">
        <v>40</v>
      </c>
      <c r="G67" s="6">
        <v>79</v>
      </c>
      <c r="H67" s="6">
        <v>37</v>
      </c>
      <c r="I67" s="6">
        <v>55</v>
      </c>
      <c r="J67" s="6">
        <v>77</v>
      </c>
      <c r="K67" s="6">
        <v>92</v>
      </c>
      <c r="L67" s="6">
        <v>91</v>
      </c>
      <c r="M67" s="6">
        <v>34</v>
      </c>
      <c r="N67" s="6">
        <v>36</v>
      </c>
      <c r="O67" s="6">
        <v>1</v>
      </c>
      <c r="P67" s="6">
        <v>10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110841</v>
      </c>
      <c r="AB67" s="6"/>
    </row>
    <row r="68" spans="1:29" x14ac:dyDescent="0.2">
      <c r="A68" s="3">
        <v>11085</v>
      </c>
      <c r="B68" t="s">
        <v>203</v>
      </c>
      <c r="C68" t="s">
        <v>1962</v>
      </c>
      <c r="D68" s="3" t="s">
        <v>69</v>
      </c>
      <c r="E68" s="6">
        <v>29</v>
      </c>
      <c r="F68" s="6">
        <v>40</v>
      </c>
      <c r="G68" s="6">
        <v>79</v>
      </c>
      <c r="H68" s="6">
        <v>38</v>
      </c>
      <c r="I68" s="6">
        <v>55</v>
      </c>
      <c r="J68" s="6">
        <v>77</v>
      </c>
      <c r="K68" s="6">
        <v>93</v>
      </c>
      <c r="L68" s="6">
        <v>90</v>
      </c>
      <c r="M68" s="6">
        <v>34</v>
      </c>
      <c r="N68" s="6">
        <v>36</v>
      </c>
      <c r="O68" s="6">
        <v>1</v>
      </c>
      <c r="P68" s="6">
        <v>10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110851</v>
      </c>
      <c r="AB68" s="6"/>
    </row>
    <row r="69" spans="1:29" x14ac:dyDescent="0.2">
      <c r="A69" s="3">
        <v>11086</v>
      </c>
      <c r="B69" t="s">
        <v>203</v>
      </c>
      <c r="C69" t="s">
        <v>1963</v>
      </c>
      <c r="D69" s="3" t="s">
        <v>69</v>
      </c>
      <c r="E69" s="6">
        <v>32</v>
      </c>
      <c r="F69" s="6">
        <v>46</v>
      </c>
      <c r="G69" s="6">
        <v>77</v>
      </c>
      <c r="H69" s="6">
        <v>40</v>
      </c>
      <c r="I69" s="6">
        <v>60</v>
      </c>
      <c r="J69" s="6">
        <v>89</v>
      </c>
      <c r="K69" s="6">
        <v>92</v>
      </c>
      <c r="L69" s="6">
        <v>89</v>
      </c>
      <c r="M69" s="6">
        <v>37</v>
      </c>
      <c r="N69" s="6">
        <v>35.5</v>
      </c>
      <c r="O69" s="6">
        <v>1</v>
      </c>
      <c r="P69" s="6">
        <v>15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110861</v>
      </c>
      <c r="AB69" s="6"/>
    </row>
    <row r="70" spans="1:29" x14ac:dyDescent="0.2">
      <c r="A70" s="3">
        <v>11087</v>
      </c>
      <c r="B70" t="s">
        <v>203</v>
      </c>
      <c r="C70" t="s">
        <v>1964</v>
      </c>
      <c r="D70" s="3" t="s">
        <v>69</v>
      </c>
      <c r="E70" s="6">
        <v>32</v>
      </c>
      <c r="F70" s="6">
        <v>46</v>
      </c>
      <c r="G70" s="6">
        <v>79</v>
      </c>
      <c r="H70" s="6">
        <v>41</v>
      </c>
      <c r="I70" s="6">
        <v>65</v>
      </c>
      <c r="J70" s="6">
        <v>89</v>
      </c>
      <c r="K70" s="6">
        <v>92</v>
      </c>
      <c r="L70" s="6">
        <v>89</v>
      </c>
      <c r="M70" s="6">
        <v>37</v>
      </c>
      <c r="N70" s="6">
        <v>35.5</v>
      </c>
      <c r="O70" s="6">
        <v>1</v>
      </c>
      <c r="P70" s="6">
        <v>22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110871</v>
      </c>
      <c r="AB70" s="6"/>
    </row>
    <row r="71" spans="1:29" x14ac:dyDescent="0.2">
      <c r="A71" s="3">
        <v>11088</v>
      </c>
      <c r="B71" t="s">
        <v>203</v>
      </c>
      <c r="C71" t="s">
        <v>1965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62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10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110881</v>
      </c>
      <c r="AB71" s="6"/>
    </row>
    <row r="72" spans="1:29" x14ac:dyDescent="0.2">
      <c r="A72" s="3">
        <v>11089</v>
      </c>
      <c r="B72" t="s">
        <v>203</v>
      </c>
      <c r="C72" t="s">
        <v>1966</v>
      </c>
      <c r="D72" s="3" t="s">
        <v>67</v>
      </c>
      <c r="E72" s="6">
        <v>32</v>
      </c>
      <c r="F72" s="6">
        <v>41</v>
      </c>
      <c r="G72" s="6">
        <v>83</v>
      </c>
      <c r="H72" s="6">
        <v>39</v>
      </c>
      <c r="I72" s="6">
        <v>80</v>
      </c>
      <c r="J72" s="6">
        <v>84</v>
      </c>
      <c r="K72" s="6">
        <v>93</v>
      </c>
      <c r="L72" s="6">
        <v>91</v>
      </c>
      <c r="M72" s="6">
        <v>37</v>
      </c>
      <c r="N72" s="6">
        <v>37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15</v>
      </c>
      <c r="X72" s="6">
        <v>25</v>
      </c>
      <c r="Y72" s="6">
        <v>0.48</v>
      </c>
      <c r="Z72" s="6">
        <v>0.9</v>
      </c>
      <c r="AA72" s="6">
        <v>110891</v>
      </c>
      <c r="AB72" s="6"/>
    </row>
    <row r="73" spans="1:29" x14ac:dyDescent="0.2">
      <c r="A73" s="3">
        <v>11092</v>
      </c>
      <c r="B73" t="s">
        <v>203</v>
      </c>
      <c r="C73" t="s">
        <v>1967</v>
      </c>
      <c r="D73" s="3" t="s">
        <v>67</v>
      </c>
      <c r="E73" s="6">
        <v>32</v>
      </c>
      <c r="F73" s="6">
        <v>41</v>
      </c>
      <c r="G73" s="6">
        <v>83</v>
      </c>
      <c r="H73" s="6">
        <v>39</v>
      </c>
      <c r="I73" s="6">
        <v>85</v>
      </c>
      <c r="J73" s="6">
        <v>115</v>
      </c>
      <c r="K73" s="6">
        <v>92</v>
      </c>
      <c r="L73" s="6">
        <v>91</v>
      </c>
      <c r="M73" s="6">
        <v>43</v>
      </c>
      <c r="N73" s="6">
        <v>37</v>
      </c>
      <c r="O73" s="6">
        <v>1</v>
      </c>
      <c r="P73" s="6">
        <v>20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15</v>
      </c>
      <c r="X73" s="6">
        <v>25</v>
      </c>
      <c r="Y73" s="6">
        <v>0.48</v>
      </c>
      <c r="Z73" s="6">
        <v>0.9</v>
      </c>
      <c r="AA73" s="6">
        <v>110921</v>
      </c>
      <c r="AB73" s="6"/>
    </row>
    <row r="74" spans="1:29" x14ac:dyDescent="0.2">
      <c r="A74" s="3">
        <v>11093</v>
      </c>
      <c r="B74" t="s">
        <v>203</v>
      </c>
      <c r="C74" t="s">
        <v>1968</v>
      </c>
      <c r="D74" s="3" t="s">
        <v>67</v>
      </c>
      <c r="E74" s="6">
        <v>35</v>
      </c>
      <c r="F74" s="6">
        <v>43</v>
      </c>
      <c r="G74" s="6">
        <v>83</v>
      </c>
      <c r="H74" s="6">
        <v>40</v>
      </c>
      <c r="I74" s="6">
        <v>75</v>
      </c>
      <c r="J74" s="6">
        <v>84</v>
      </c>
      <c r="K74" s="6">
        <v>93</v>
      </c>
      <c r="L74" s="6">
        <v>86</v>
      </c>
      <c r="M74" s="6">
        <v>43</v>
      </c>
      <c r="N74" s="6">
        <v>35</v>
      </c>
      <c r="O74" s="6">
        <v>1</v>
      </c>
      <c r="P74" s="6">
        <v>20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110921</v>
      </c>
      <c r="AB74" s="6">
        <v>110932</v>
      </c>
    </row>
    <row r="75" spans="1:29" x14ac:dyDescent="0.2">
      <c r="A75" s="3">
        <v>11094</v>
      </c>
      <c r="B75" t="s">
        <v>2035</v>
      </c>
      <c r="C75" t="s">
        <v>2036</v>
      </c>
      <c r="D75" t="s">
        <v>2034</v>
      </c>
      <c r="E75">
        <v>35</v>
      </c>
      <c r="F75">
        <v>48</v>
      </c>
      <c r="G75">
        <v>1</v>
      </c>
      <c r="H75">
        <v>40</v>
      </c>
      <c r="I75">
        <v>80</v>
      </c>
      <c r="J75">
        <v>63</v>
      </c>
      <c r="K75" s="1">
        <v>105</v>
      </c>
      <c r="L75">
        <v>88</v>
      </c>
      <c r="M75">
        <v>50</v>
      </c>
      <c r="N75">
        <v>35</v>
      </c>
      <c r="O75">
        <v>1</v>
      </c>
      <c r="P75">
        <v>20</v>
      </c>
      <c r="Q75">
        <v>3</v>
      </c>
      <c r="R75">
        <f t="shared" si="1"/>
        <v>36</v>
      </c>
      <c r="S75">
        <v>12</v>
      </c>
      <c r="T75">
        <v>12</v>
      </c>
      <c r="U75">
        <v>12</v>
      </c>
      <c r="V75">
        <v>0</v>
      </c>
      <c r="W75">
        <v>15</v>
      </c>
      <c r="X75">
        <v>40</v>
      </c>
      <c r="Y75">
        <v>0.48</v>
      </c>
      <c r="Z75">
        <v>0.9</v>
      </c>
      <c r="AA75" s="6">
        <v>110941</v>
      </c>
      <c r="AB75" s="6"/>
    </row>
    <row r="76" spans="1:29" x14ac:dyDescent="0.2">
      <c r="A76" s="3">
        <v>11097</v>
      </c>
      <c r="B76" t="s">
        <v>2037</v>
      </c>
      <c r="C76" t="s">
        <v>2031</v>
      </c>
      <c r="D76" t="s">
        <v>2038</v>
      </c>
      <c r="E76">
        <v>33</v>
      </c>
      <c r="F76">
        <v>42</v>
      </c>
      <c r="G76">
        <v>1</v>
      </c>
      <c r="H76">
        <v>40</v>
      </c>
      <c r="I76">
        <v>60</v>
      </c>
      <c r="J76">
        <v>0</v>
      </c>
      <c r="K76">
        <v>101</v>
      </c>
      <c r="L76">
        <v>89</v>
      </c>
      <c r="M76">
        <v>42</v>
      </c>
      <c r="N76">
        <v>39</v>
      </c>
      <c r="O76">
        <v>1</v>
      </c>
      <c r="P76">
        <v>25</v>
      </c>
      <c r="Q76">
        <v>3</v>
      </c>
      <c r="R76">
        <f t="shared" si="1"/>
        <v>24</v>
      </c>
      <c r="S76">
        <v>8</v>
      </c>
      <c r="T76">
        <v>8</v>
      </c>
      <c r="U76">
        <v>8</v>
      </c>
      <c r="V76">
        <v>0</v>
      </c>
      <c r="W76">
        <v>25</v>
      </c>
      <c r="X76">
        <v>65</v>
      </c>
      <c r="Y76">
        <v>0.48</v>
      </c>
      <c r="Z76">
        <v>1.5</v>
      </c>
      <c r="AA76" s="6">
        <v>110971</v>
      </c>
      <c r="AB76" s="6"/>
      <c r="AC76" s="3" t="s">
        <v>2506</v>
      </c>
    </row>
    <row r="77" spans="1:29" x14ac:dyDescent="0.2">
      <c r="A77" s="3">
        <v>11098</v>
      </c>
      <c r="B77" t="s">
        <v>203</v>
      </c>
      <c r="C77" t="s">
        <v>1969</v>
      </c>
      <c r="D77" s="3" t="s">
        <v>70</v>
      </c>
      <c r="E77" s="6">
        <v>35</v>
      </c>
      <c r="F77" s="6">
        <v>40</v>
      </c>
      <c r="G77" s="6">
        <v>77</v>
      </c>
      <c r="H77" s="6">
        <v>32</v>
      </c>
      <c r="I77" s="6">
        <v>45</v>
      </c>
      <c r="J77" s="6">
        <v>76</v>
      </c>
      <c r="K77" s="6">
        <v>92</v>
      </c>
      <c r="L77" s="6">
        <v>94</v>
      </c>
      <c r="M77" s="6">
        <v>37</v>
      </c>
      <c r="N77" s="6">
        <v>40</v>
      </c>
      <c r="O77" s="6">
        <v>1</v>
      </c>
      <c r="P77" s="6">
        <v>10</v>
      </c>
      <c r="Q77" s="6">
        <v>3</v>
      </c>
      <c r="R77">
        <f t="shared" si="1"/>
        <v>0</v>
      </c>
      <c r="S77" s="6">
        <v>0</v>
      </c>
      <c r="T77" s="6">
        <v>0</v>
      </c>
      <c r="U77" s="6">
        <v>0</v>
      </c>
      <c r="V77" s="6">
        <v>0</v>
      </c>
      <c r="W77" s="6">
        <v>10</v>
      </c>
      <c r="X77" s="6">
        <v>20</v>
      </c>
      <c r="Y77" s="6">
        <v>0.48</v>
      </c>
      <c r="Z77" s="6">
        <v>0.9</v>
      </c>
      <c r="AA77" s="6">
        <v>110981</v>
      </c>
      <c r="AB77" s="6"/>
    </row>
    <row r="78" spans="1:29" x14ac:dyDescent="0.2">
      <c r="A78" s="3">
        <v>11099</v>
      </c>
      <c r="B78" t="s">
        <v>203</v>
      </c>
      <c r="C78" t="s">
        <v>1970</v>
      </c>
      <c r="D78" s="3" t="s">
        <v>70</v>
      </c>
      <c r="E78" s="6">
        <v>37</v>
      </c>
      <c r="F78" s="6">
        <v>40</v>
      </c>
      <c r="G78" s="6">
        <v>80</v>
      </c>
      <c r="H78" s="6">
        <v>34</v>
      </c>
      <c r="I78" s="6">
        <v>60</v>
      </c>
      <c r="J78" s="6">
        <v>84</v>
      </c>
      <c r="K78" s="6">
        <v>95</v>
      </c>
      <c r="L78" s="6">
        <v>125</v>
      </c>
      <c r="M78" s="6">
        <v>39</v>
      </c>
      <c r="N78" s="6">
        <v>45</v>
      </c>
      <c r="O78" s="6">
        <v>2</v>
      </c>
      <c r="P78" s="6">
        <v>10</v>
      </c>
      <c r="Q78" s="6">
        <v>3</v>
      </c>
      <c r="R78">
        <f t="shared" si="1"/>
        <v>0</v>
      </c>
      <c r="S78" s="6">
        <v>0</v>
      </c>
      <c r="T78" s="6">
        <v>0</v>
      </c>
      <c r="U78" s="6">
        <v>0</v>
      </c>
      <c r="V78" s="6">
        <v>0</v>
      </c>
      <c r="W78" s="6">
        <v>40</v>
      </c>
      <c r="X78" s="6">
        <v>25</v>
      </c>
      <c r="Y78" s="6">
        <v>0.64</v>
      </c>
      <c r="Z78" s="6">
        <v>1.2</v>
      </c>
      <c r="AA78" s="6">
        <v>110991</v>
      </c>
      <c r="AB78" s="6"/>
    </row>
    <row r="79" spans="1:29" x14ac:dyDescent="0.2">
      <c r="A79" s="3">
        <v>11100</v>
      </c>
      <c r="B79" t="s">
        <v>206</v>
      </c>
      <c r="C79" s="8" t="s">
        <v>1856</v>
      </c>
      <c r="D79" s="3" t="s">
        <v>69</v>
      </c>
      <c r="E79" s="10">
        <v>88</v>
      </c>
      <c r="F79" s="10">
        <v>115</v>
      </c>
      <c r="G79" s="10">
        <v>0</v>
      </c>
      <c r="H79" s="10">
        <v>106</v>
      </c>
      <c r="I79" s="10">
        <v>108</v>
      </c>
      <c r="J79" s="6">
        <v>0</v>
      </c>
      <c r="K79" s="11">
        <v>103</v>
      </c>
      <c r="L79" s="6">
        <v>60</v>
      </c>
      <c r="M79" s="6">
        <v>55</v>
      </c>
      <c r="N79" s="10">
        <v>28</v>
      </c>
      <c r="O79" s="6">
        <v>3</v>
      </c>
      <c r="P79" s="10">
        <v>10</v>
      </c>
      <c r="Q79" s="6">
        <v>4</v>
      </c>
      <c r="R79">
        <f t="shared" si="1"/>
        <v>0</v>
      </c>
      <c r="S79" s="10">
        <v>0</v>
      </c>
      <c r="T79" s="10">
        <v>0</v>
      </c>
      <c r="U79" s="10">
        <v>0</v>
      </c>
      <c r="V79" s="10">
        <v>0</v>
      </c>
      <c r="W79" s="6">
        <v>140</v>
      </c>
      <c r="X79" s="6">
        <v>180</v>
      </c>
      <c r="Y79" s="6">
        <v>4.8</v>
      </c>
      <c r="Z79" s="6">
        <v>9</v>
      </c>
      <c r="AA79" s="6">
        <v>111001</v>
      </c>
      <c r="AB79" s="6">
        <v>111002</v>
      </c>
    </row>
    <row r="80" spans="1:29" x14ac:dyDescent="0.2">
      <c r="A80" s="3">
        <v>11101</v>
      </c>
      <c r="B80" t="s">
        <v>206</v>
      </c>
      <c r="C80" s="8" t="s">
        <v>1903</v>
      </c>
      <c r="D80" s="3" t="s">
        <v>3</v>
      </c>
      <c r="E80" s="10">
        <v>80</v>
      </c>
      <c r="F80" s="10">
        <v>112</v>
      </c>
      <c r="G80" s="10">
        <v>0</v>
      </c>
      <c r="H80" s="10">
        <v>99</v>
      </c>
      <c r="I80" s="10">
        <v>63</v>
      </c>
      <c r="J80" s="6">
        <v>0</v>
      </c>
      <c r="K80" s="6">
        <v>101</v>
      </c>
      <c r="L80" s="6">
        <v>54</v>
      </c>
      <c r="M80" s="6">
        <v>49</v>
      </c>
      <c r="N80" s="10">
        <v>25</v>
      </c>
      <c r="O80" s="6">
        <v>3</v>
      </c>
      <c r="P80" s="10">
        <v>22</v>
      </c>
      <c r="Q80" s="6">
        <v>4</v>
      </c>
      <c r="R80">
        <f t="shared" si="1"/>
        <v>12</v>
      </c>
      <c r="S80" s="10">
        <v>3</v>
      </c>
      <c r="T80" s="10">
        <v>3</v>
      </c>
      <c r="U80" s="10">
        <v>3</v>
      </c>
      <c r="V80" s="10">
        <v>3</v>
      </c>
      <c r="W80" s="6">
        <v>95</v>
      </c>
      <c r="X80" s="6">
        <v>130</v>
      </c>
      <c r="Y80" s="6">
        <v>3.2</v>
      </c>
      <c r="Z80" s="6">
        <v>6</v>
      </c>
      <c r="AA80" s="6">
        <v>110081</v>
      </c>
      <c r="AB80" s="6">
        <v>110021</v>
      </c>
      <c r="AC80" s="3" t="s">
        <v>2219</v>
      </c>
    </row>
    <row r="81" spans="1:29" x14ac:dyDescent="0.2">
      <c r="A81" s="3">
        <v>11102</v>
      </c>
      <c r="B81" t="s">
        <v>206</v>
      </c>
      <c r="C81" s="8" t="s">
        <v>1904</v>
      </c>
      <c r="D81" s="3" t="s">
        <v>3</v>
      </c>
      <c r="E81" s="10">
        <v>80</v>
      </c>
      <c r="F81" s="10">
        <v>117</v>
      </c>
      <c r="G81" s="10">
        <v>0</v>
      </c>
      <c r="H81" s="10">
        <v>102</v>
      </c>
      <c r="I81" s="10">
        <v>60</v>
      </c>
      <c r="J81" s="6">
        <v>0</v>
      </c>
      <c r="K81" s="11">
        <v>101</v>
      </c>
      <c r="L81" s="6">
        <v>53</v>
      </c>
      <c r="M81" s="6">
        <v>48</v>
      </c>
      <c r="N81" s="10">
        <v>25</v>
      </c>
      <c r="O81" s="6">
        <v>3</v>
      </c>
      <c r="P81" s="10">
        <v>7</v>
      </c>
      <c r="Q81" s="6">
        <v>4</v>
      </c>
      <c r="R81">
        <f t="shared" si="1"/>
        <v>12</v>
      </c>
      <c r="S81" s="10">
        <v>3</v>
      </c>
      <c r="T81" s="10">
        <v>3</v>
      </c>
      <c r="U81" s="10">
        <v>3</v>
      </c>
      <c r="V81" s="10">
        <v>3</v>
      </c>
      <c r="W81" s="6">
        <v>95</v>
      </c>
      <c r="X81" s="6">
        <v>135</v>
      </c>
      <c r="Y81" s="6">
        <v>3.2</v>
      </c>
      <c r="Z81" s="6">
        <v>6</v>
      </c>
      <c r="AA81" s="6">
        <v>110081</v>
      </c>
      <c r="AB81" s="6">
        <v>111022</v>
      </c>
      <c r="AC81" s="3" t="s">
        <v>2219</v>
      </c>
    </row>
    <row r="82" spans="1:29" x14ac:dyDescent="0.2">
      <c r="A82" s="3">
        <v>11105</v>
      </c>
      <c r="B82" t="s">
        <v>206</v>
      </c>
      <c r="C82" s="8" t="s">
        <v>1857</v>
      </c>
      <c r="D82" s="3" t="s">
        <v>69</v>
      </c>
      <c r="E82" s="10">
        <v>90</v>
      </c>
      <c r="F82" s="10">
        <v>96</v>
      </c>
      <c r="G82" s="10">
        <v>0</v>
      </c>
      <c r="H82" s="10">
        <v>101</v>
      </c>
      <c r="I82" s="10">
        <v>115</v>
      </c>
      <c r="J82" s="6">
        <v>0</v>
      </c>
      <c r="K82" s="6">
        <v>102</v>
      </c>
      <c r="L82" s="6">
        <v>56</v>
      </c>
      <c r="M82" s="6">
        <v>50</v>
      </c>
      <c r="N82" s="10">
        <v>30</v>
      </c>
      <c r="O82" s="6">
        <v>3</v>
      </c>
      <c r="P82" s="10">
        <v>15</v>
      </c>
      <c r="Q82" s="6">
        <v>4</v>
      </c>
      <c r="R82">
        <f t="shared" si="1"/>
        <v>12</v>
      </c>
      <c r="S82" s="10">
        <v>3</v>
      </c>
      <c r="T82" s="10">
        <v>3</v>
      </c>
      <c r="U82" s="10">
        <v>3</v>
      </c>
      <c r="V82" s="10">
        <v>3</v>
      </c>
      <c r="W82" s="6">
        <v>90</v>
      </c>
      <c r="X82" s="6">
        <v>140</v>
      </c>
      <c r="Y82" s="6">
        <v>4.2</v>
      </c>
      <c r="Z82" s="6">
        <v>8</v>
      </c>
      <c r="AA82" s="6">
        <v>111051</v>
      </c>
      <c r="AB82" s="6">
        <v>111052</v>
      </c>
    </row>
    <row r="83" spans="1:29" x14ac:dyDescent="0.2">
      <c r="A83" s="3">
        <v>11106</v>
      </c>
      <c r="B83" t="s">
        <v>206</v>
      </c>
      <c r="C83" s="8" t="s">
        <v>1905</v>
      </c>
      <c r="D83" s="3" t="s">
        <v>67</v>
      </c>
      <c r="E83" s="10">
        <v>75</v>
      </c>
      <c r="F83" s="10">
        <v>100</v>
      </c>
      <c r="G83" s="10">
        <v>0</v>
      </c>
      <c r="H83" s="10">
        <v>96</v>
      </c>
      <c r="I83" s="10">
        <v>96</v>
      </c>
      <c r="J83" s="6">
        <v>0</v>
      </c>
      <c r="K83" s="6">
        <v>100</v>
      </c>
      <c r="L83" s="6">
        <v>44</v>
      </c>
      <c r="M83" s="6">
        <v>47</v>
      </c>
      <c r="N83" s="10">
        <v>21</v>
      </c>
      <c r="O83" s="6">
        <v>3</v>
      </c>
      <c r="P83" s="10">
        <v>20</v>
      </c>
      <c r="Q83" s="6">
        <v>4</v>
      </c>
      <c r="R83">
        <f t="shared" si="1"/>
        <v>16</v>
      </c>
      <c r="S83" s="10">
        <v>4</v>
      </c>
      <c r="T83" s="10">
        <v>4</v>
      </c>
      <c r="U83" s="10">
        <v>4</v>
      </c>
      <c r="V83" s="10">
        <v>4</v>
      </c>
      <c r="W83" s="6">
        <v>85</v>
      </c>
      <c r="X83" s="6">
        <v>125</v>
      </c>
      <c r="Y83" s="6">
        <v>2.5</v>
      </c>
      <c r="Z83" s="6">
        <v>5.0999999999999996</v>
      </c>
      <c r="AA83" s="6">
        <v>111061</v>
      </c>
      <c r="AB83" s="6"/>
    </row>
    <row r="84" spans="1:29" x14ac:dyDescent="0.2">
      <c r="A84" s="3">
        <v>11107</v>
      </c>
      <c r="B84" t="s">
        <v>206</v>
      </c>
      <c r="C84" s="8" t="s">
        <v>1906</v>
      </c>
      <c r="D84" s="3" t="s">
        <v>67</v>
      </c>
      <c r="E84" s="10">
        <v>75</v>
      </c>
      <c r="F84" s="10">
        <v>100</v>
      </c>
      <c r="G84" s="10">
        <v>0</v>
      </c>
      <c r="H84" s="10">
        <v>96</v>
      </c>
      <c r="I84" s="10">
        <v>98</v>
      </c>
      <c r="J84" s="6">
        <v>0</v>
      </c>
      <c r="K84" s="6">
        <v>100</v>
      </c>
      <c r="L84" s="6">
        <v>44</v>
      </c>
      <c r="M84" s="6">
        <v>47</v>
      </c>
      <c r="N84" s="10">
        <v>21</v>
      </c>
      <c r="O84" s="6">
        <v>3</v>
      </c>
      <c r="P84" s="10">
        <v>21</v>
      </c>
      <c r="Q84" s="6">
        <v>4</v>
      </c>
      <c r="R84">
        <f t="shared" si="1"/>
        <v>16</v>
      </c>
      <c r="S84" s="10">
        <v>4</v>
      </c>
      <c r="T84" s="10">
        <v>4</v>
      </c>
      <c r="U84" s="10">
        <v>4</v>
      </c>
      <c r="V84" s="10">
        <v>4</v>
      </c>
      <c r="W84" s="6">
        <v>85</v>
      </c>
      <c r="X84" s="6">
        <v>125</v>
      </c>
      <c r="Y84" s="6">
        <v>2.5</v>
      </c>
      <c r="Z84" s="6">
        <v>5.0999999999999996</v>
      </c>
      <c r="AA84" s="6">
        <v>111071</v>
      </c>
      <c r="AB84" s="6"/>
    </row>
    <row r="85" spans="1:29" x14ac:dyDescent="0.2">
      <c r="A85" s="3">
        <v>11108</v>
      </c>
      <c r="B85" t="s">
        <v>206</v>
      </c>
      <c r="C85" s="8" t="s">
        <v>1907</v>
      </c>
      <c r="D85" s="3" t="s">
        <v>67</v>
      </c>
      <c r="E85" s="10">
        <v>82</v>
      </c>
      <c r="F85" s="10">
        <v>105</v>
      </c>
      <c r="G85" s="10">
        <v>0</v>
      </c>
      <c r="H85" s="10">
        <v>96</v>
      </c>
      <c r="I85" s="10">
        <v>92</v>
      </c>
      <c r="J85" s="6">
        <v>0</v>
      </c>
      <c r="K85" s="6">
        <v>101</v>
      </c>
      <c r="L85" s="6">
        <v>45</v>
      </c>
      <c r="M85" s="6">
        <v>45</v>
      </c>
      <c r="N85" s="10">
        <v>21</v>
      </c>
      <c r="O85" s="6">
        <v>3</v>
      </c>
      <c r="P85" s="10">
        <v>22</v>
      </c>
      <c r="Q85" s="6">
        <v>4</v>
      </c>
      <c r="R85">
        <f t="shared" si="1"/>
        <v>16</v>
      </c>
      <c r="S85" s="10">
        <v>4</v>
      </c>
      <c r="T85" s="10">
        <v>4</v>
      </c>
      <c r="U85" s="10">
        <v>4</v>
      </c>
      <c r="V85" s="10">
        <v>4</v>
      </c>
      <c r="W85" s="6">
        <v>95</v>
      </c>
      <c r="X85" s="6">
        <v>140</v>
      </c>
      <c r="Y85" s="6">
        <v>3.2</v>
      </c>
      <c r="Z85" s="6">
        <v>6</v>
      </c>
      <c r="AA85" s="6">
        <v>111081</v>
      </c>
      <c r="AB85" s="6"/>
      <c r="AC85" s="3" t="s">
        <v>2219</v>
      </c>
    </row>
    <row r="86" spans="1:29" x14ac:dyDescent="0.2">
      <c r="A86" s="3">
        <v>11109</v>
      </c>
      <c r="B86" t="s">
        <v>206</v>
      </c>
      <c r="C86" s="8" t="s">
        <v>1908</v>
      </c>
      <c r="D86" s="3" t="s">
        <v>67</v>
      </c>
      <c r="E86" s="10">
        <v>82</v>
      </c>
      <c r="F86" s="10">
        <v>105</v>
      </c>
      <c r="G86" s="10">
        <v>0</v>
      </c>
      <c r="H86" s="10">
        <v>96</v>
      </c>
      <c r="I86" s="10">
        <v>98</v>
      </c>
      <c r="J86" s="6">
        <v>0</v>
      </c>
      <c r="K86" s="6">
        <v>101</v>
      </c>
      <c r="L86" s="6">
        <v>45</v>
      </c>
      <c r="M86" s="6">
        <v>45</v>
      </c>
      <c r="N86" s="10">
        <v>21</v>
      </c>
      <c r="O86" s="6">
        <v>3</v>
      </c>
      <c r="P86" s="10">
        <v>20</v>
      </c>
      <c r="Q86" s="6">
        <v>4</v>
      </c>
      <c r="R86">
        <f t="shared" si="1"/>
        <v>16</v>
      </c>
      <c r="S86" s="10">
        <v>4</v>
      </c>
      <c r="T86" s="10">
        <v>4</v>
      </c>
      <c r="U86" s="10">
        <v>4</v>
      </c>
      <c r="V86" s="10">
        <v>4</v>
      </c>
      <c r="W86" s="6">
        <v>95</v>
      </c>
      <c r="X86" s="6">
        <v>140</v>
      </c>
      <c r="Y86" s="6">
        <v>3.2</v>
      </c>
      <c r="Z86" s="6">
        <v>6</v>
      </c>
      <c r="AA86" s="6">
        <v>111091</v>
      </c>
      <c r="AB86" s="6">
        <v>110081</v>
      </c>
      <c r="AC86" s="3" t="s">
        <v>2219</v>
      </c>
    </row>
    <row r="87" spans="1:29" x14ac:dyDescent="0.2">
      <c r="A87" s="3">
        <v>11110</v>
      </c>
      <c r="B87" t="s">
        <v>206</v>
      </c>
      <c r="C87" s="8" t="s">
        <v>1909</v>
      </c>
      <c r="D87" s="3" t="s">
        <v>67</v>
      </c>
      <c r="E87" s="10">
        <v>82</v>
      </c>
      <c r="F87" s="10">
        <v>107</v>
      </c>
      <c r="G87" s="10">
        <v>0</v>
      </c>
      <c r="H87" s="10">
        <v>100</v>
      </c>
      <c r="I87" s="10">
        <v>102</v>
      </c>
      <c r="J87" s="6">
        <v>0</v>
      </c>
      <c r="K87" s="6">
        <v>101</v>
      </c>
      <c r="L87" s="6">
        <v>45</v>
      </c>
      <c r="M87" s="6">
        <v>47</v>
      </c>
      <c r="N87" s="10">
        <v>21</v>
      </c>
      <c r="O87" s="6">
        <v>3</v>
      </c>
      <c r="P87" s="10">
        <v>22</v>
      </c>
      <c r="Q87" s="6">
        <v>4</v>
      </c>
      <c r="R87">
        <f t="shared" si="1"/>
        <v>12</v>
      </c>
      <c r="S87" s="10">
        <v>3</v>
      </c>
      <c r="T87" s="10">
        <v>3</v>
      </c>
      <c r="U87" s="10">
        <v>3</v>
      </c>
      <c r="V87" s="10">
        <v>3</v>
      </c>
      <c r="W87" s="6">
        <v>95</v>
      </c>
      <c r="X87" s="6">
        <v>140</v>
      </c>
      <c r="Y87" s="6">
        <v>3.2</v>
      </c>
      <c r="Z87" s="6">
        <v>6</v>
      </c>
      <c r="AA87" s="6">
        <v>111101</v>
      </c>
      <c r="AB87" s="6">
        <v>111102</v>
      </c>
      <c r="AC87" s="3" t="s">
        <v>2219</v>
      </c>
    </row>
    <row r="88" spans="1:29" x14ac:dyDescent="0.2">
      <c r="A88" s="3">
        <v>11111</v>
      </c>
      <c r="B88" t="s">
        <v>206</v>
      </c>
      <c r="C88" s="8" t="s">
        <v>1910</v>
      </c>
      <c r="D88" s="3" t="s">
        <v>67</v>
      </c>
      <c r="E88" s="10">
        <v>79</v>
      </c>
      <c r="F88" s="10">
        <v>115</v>
      </c>
      <c r="G88" s="10">
        <v>0</v>
      </c>
      <c r="H88" s="10">
        <v>97</v>
      </c>
      <c r="I88" s="10">
        <v>105</v>
      </c>
      <c r="J88" s="6">
        <v>0</v>
      </c>
      <c r="K88" s="6">
        <v>102</v>
      </c>
      <c r="L88" s="6">
        <v>60</v>
      </c>
      <c r="M88" s="6">
        <v>51</v>
      </c>
      <c r="N88" s="10">
        <v>28</v>
      </c>
      <c r="O88" s="6">
        <v>3</v>
      </c>
      <c r="P88" s="10">
        <v>20</v>
      </c>
      <c r="Q88" s="6">
        <v>4</v>
      </c>
      <c r="R88">
        <f t="shared" si="1"/>
        <v>12</v>
      </c>
      <c r="S88" s="10">
        <v>3</v>
      </c>
      <c r="T88" s="10">
        <v>3</v>
      </c>
      <c r="U88" s="10">
        <v>3</v>
      </c>
      <c r="V88" s="10">
        <v>3</v>
      </c>
      <c r="W88" s="6">
        <v>95</v>
      </c>
      <c r="X88" s="6">
        <v>140</v>
      </c>
      <c r="Y88" s="6">
        <v>4.2</v>
      </c>
      <c r="Z88" s="6">
        <v>8</v>
      </c>
      <c r="AA88" s="6">
        <v>111111</v>
      </c>
      <c r="AB88" s="6">
        <v>111112</v>
      </c>
    </row>
    <row r="89" spans="1:29" x14ac:dyDescent="0.2">
      <c r="A89" s="3">
        <v>11112</v>
      </c>
      <c r="B89" t="s">
        <v>206</v>
      </c>
      <c r="C89" s="8" t="s">
        <v>1911</v>
      </c>
      <c r="D89" s="3" t="s">
        <v>71</v>
      </c>
      <c r="E89" s="10">
        <v>80</v>
      </c>
      <c r="F89" s="10">
        <v>113</v>
      </c>
      <c r="G89" s="10">
        <v>0</v>
      </c>
      <c r="H89" s="10">
        <v>104</v>
      </c>
      <c r="I89" s="10">
        <v>70</v>
      </c>
      <c r="J89" s="6">
        <v>0</v>
      </c>
      <c r="K89" s="6">
        <v>102</v>
      </c>
      <c r="L89" s="6">
        <v>63</v>
      </c>
      <c r="M89" s="6">
        <v>41</v>
      </c>
      <c r="N89" s="10">
        <v>31</v>
      </c>
      <c r="O89" s="6">
        <v>3</v>
      </c>
      <c r="P89" s="10">
        <v>20</v>
      </c>
      <c r="Q89" s="6">
        <v>4</v>
      </c>
      <c r="R89">
        <f t="shared" si="1"/>
        <v>12</v>
      </c>
      <c r="S89" s="10">
        <v>3</v>
      </c>
      <c r="T89" s="10">
        <v>3</v>
      </c>
      <c r="U89" s="10">
        <v>3</v>
      </c>
      <c r="V89" s="10">
        <v>3</v>
      </c>
      <c r="W89" s="6">
        <v>90</v>
      </c>
      <c r="X89" s="6">
        <v>130</v>
      </c>
      <c r="Y89" s="6">
        <v>4.2</v>
      </c>
      <c r="Z89" s="6">
        <v>8</v>
      </c>
      <c r="AA89" s="6">
        <v>111121</v>
      </c>
      <c r="AB89" s="6"/>
      <c r="AC89" s="3" t="s">
        <v>2474</v>
      </c>
    </row>
    <row r="90" spans="1:29" x14ac:dyDescent="0.2">
      <c r="A90" s="3">
        <v>11113</v>
      </c>
      <c r="B90" t="s">
        <v>206</v>
      </c>
      <c r="C90" s="8" t="s">
        <v>1912</v>
      </c>
      <c r="D90" s="3" t="s">
        <v>70</v>
      </c>
      <c r="E90" s="10">
        <v>83</v>
      </c>
      <c r="F90" s="10">
        <v>110</v>
      </c>
      <c r="G90" s="10">
        <v>0</v>
      </c>
      <c r="H90" s="10">
        <v>108</v>
      </c>
      <c r="I90" s="10">
        <v>102</v>
      </c>
      <c r="J90" s="6">
        <v>0</v>
      </c>
      <c r="K90" s="6">
        <v>102</v>
      </c>
      <c r="L90" s="6">
        <v>58</v>
      </c>
      <c r="M90" s="6">
        <v>46</v>
      </c>
      <c r="N90" s="10">
        <v>32</v>
      </c>
      <c r="O90" s="6">
        <v>3</v>
      </c>
      <c r="P90" s="10">
        <v>30</v>
      </c>
      <c r="Q90" s="6">
        <v>4</v>
      </c>
      <c r="R90">
        <f t="shared" si="1"/>
        <v>0</v>
      </c>
      <c r="S90" s="10">
        <v>0</v>
      </c>
      <c r="T90" s="10">
        <v>0</v>
      </c>
      <c r="U90" s="10">
        <v>0</v>
      </c>
      <c r="V90" s="10">
        <v>0</v>
      </c>
      <c r="W90" s="6">
        <v>90</v>
      </c>
      <c r="X90" s="6">
        <v>130</v>
      </c>
      <c r="Y90" s="6">
        <v>4.2</v>
      </c>
      <c r="Z90" s="6">
        <v>8</v>
      </c>
      <c r="AA90" s="6">
        <v>111131</v>
      </c>
      <c r="AB90" s="6">
        <v>111132</v>
      </c>
    </row>
    <row r="91" spans="1:29" x14ac:dyDescent="0.2">
      <c r="A91" s="3">
        <v>11117</v>
      </c>
      <c r="B91" t="s">
        <v>75</v>
      </c>
      <c r="C91" s="8" t="s">
        <v>37</v>
      </c>
      <c r="D91" t="s">
        <v>3</v>
      </c>
      <c r="E91">
        <v>82</v>
      </c>
      <c r="F91">
        <v>40</v>
      </c>
      <c r="G91">
        <v>0</v>
      </c>
      <c r="H91">
        <v>85</v>
      </c>
      <c r="I91">
        <v>77</v>
      </c>
      <c r="J91">
        <v>0</v>
      </c>
      <c r="K91">
        <v>97</v>
      </c>
      <c r="L91">
        <v>66</v>
      </c>
      <c r="M91">
        <v>82</v>
      </c>
      <c r="N91">
        <v>33</v>
      </c>
      <c r="O91">
        <v>1</v>
      </c>
      <c r="P91">
        <v>6</v>
      </c>
      <c r="Q91">
        <v>4</v>
      </c>
      <c r="R91">
        <f t="shared" si="1"/>
        <v>72</v>
      </c>
      <c r="S91">
        <v>20</v>
      </c>
      <c r="T91">
        <v>25</v>
      </c>
      <c r="U91">
        <v>15</v>
      </c>
      <c r="V91">
        <v>12</v>
      </c>
      <c r="W91" s="6">
        <v>70</v>
      </c>
      <c r="X91" s="6">
        <v>65</v>
      </c>
      <c r="Y91" s="6">
        <v>2.88</v>
      </c>
      <c r="Z91" s="6">
        <v>5.4</v>
      </c>
      <c r="AA91" s="6">
        <v>111171</v>
      </c>
      <c r="AB91" s="6">
        <v>111172</v>
      </c>
    </row>
    <row r="92" spans="1:29" x14ac:dyDescent="0.2">
      <c r="A92" s="3">
        <v>11118</v>
      </c>
      <c r="B92" t="s">
        <v>75</v>
      </c>
      <c r="C92" s="8" t="s">
        <v>38</v>
      </c>
      <c r="D92" t="s">
        <v>68</v>
      </c>
      <c r="E92">
        <v>67</v>
      </c>
      <c r="F92">
        <v>40</v>
      </c>
      <c r="G92">
        <v>0</v>
      </c>
      <c r="H92">
        <v>65</v>
      </c>
      <c r="I92">
        <v>71</v>
      </c>
      <c r="J92">
        <v>0</v>
      </c>
      <c r="K92">
        <v>91</v>
      </c>
      <c r="L92">
        <v>63</v>
      </c>
      <c r="M92">
        <v>72</v>
      </c>
      <c r="N92">
        <v>34</v>
      </c>
      <c r="O92">
        <v>1</v>
      </c>
      <c r="P92">
        <v>7</v>
      </c>
      <c r="Q92">
        <v>4</v>
      </c>
      <c r="R92">
        <f t="shared" si="1"/>
        <v>68</v>
      </c>
      <c r="S92">
        <v>16</v>
      </c>
      <c r="T92">
        <v>27</v>
      </c>
      <c r="U92">
        <v>15</v>
      </c>
      <c r="V92">
        <v>10</v>
      </c>
      <c r="W92" s="6">
        <v>70</v>
      </c>
      <c r="X92" s="6">
        <v>65</v>
      </c>
      <c r="Y92" s="6">
        <v>2.1</v>
      </c>
      <c r="Z92" s="6">
        <v>5.2</v>
      </c>
      <c r="AA92" s="6">
        <v>111171</v>
      </c>
      <c r="AB92" s="6"/>
    </row>
    <row r="93" spans="1:29" x14ac:dyDescent="0.2">
      <c r="A93" s="3">
        <v>11120</v>
      </c>
      <c r="B93" t="s">
        <v>21</v>
      </c>
      <c r="C93" s="8" t="s">
        <v>40</v>
      </c>
      <c r="D93" t="s">
        <v>67</v>
      </c>
      <c r="E93">
        <v>60</v>
      </c>
      <c r="F93">
        <v>45</v>
      </c>
      <c r="G93">
        <v>0</v>
      </c>
      <c r="H93">
        <v>64</v>
      </c>
      <c r="I93">
        <v>83</v>
      </c>
      <c r="J93">
        <v>0</v>
      </c>
      <c r="K93">
        <v>101</v>
      </c>
      <c r="L93">
        <v>60</v>
      </c>
      <c r="M93">
        <v>65</v>
      </c>
      <c r="N93">
        <v>32</v>
      </c>
      <c r="O93">
        <v>1</v>
      </c>
      <c r="P93">
        <v>12</v>
      </c>
      <c r="Q93">
        <v>4</v>
      </c>
      <c r="R93">
        <f t="shared" si="1"/>
        <v>83</v>
      </c>
      <c r="S93">
        <v>21</v>
      </c>
      <c r="T93">
        <v>27</v>
      </c>
      <c r="U93">
        <v>23</v>
      </c>
      <c r="V93">
        <v>12</v>
      </c>
      <c r="W93" s="6">
        <v>55</v>
      </c>
      <c r="X93" s="6">
        <v>65</v>
      </c>
      <c r="Y93" s="6">
        <v>2.08</v>
      </c>
      <c r="Z93" s="6">
        <v>4</v>
      </c>
      <c r="AA93" s="6">
        <v>111201</v>
      </c>
      <c r="AB93" s="6"/>
    </row>
    <row r="94" spans="1:29" x14ac:dyDescent="0.2">
      <c r="A94" s="3">
        <v>11121</v>
      </c>
      <c r="B94" t="s">
        <v>21</v>
      </c>
      <c r="C94" s="8" t="s">
        <v>41</v>
      </c>
      <c r="D94" t="s">
        <v>67</v>
      </c>
      <c r="E94">
        <v>60</v>
      </c>
      <c r="F94">
        <v>45</v>
      </c>
      <c r="G94">
        <v>0</v>
      </c>
      <c r="H94">
        <v>68</v>
      </c>
      <c r="I94">
        <v>95</v>
      </c>
      <c r="J94">
        <v>0</v>
      </c>
      <c r="K94">
        <v>102</v>
      </c>
      <c r="L94">
        <v>62</v>
      </c>
      <c r="M94">
        <v>73</v>
      </c>
      <c r="N94">
        <v>32</v>
      </c>
      <c r="O94">
        <v>1</v>
      </c>
      <c r="P94">
        <v>65</v>
      </c>
      <c r="Q94">
        <v>4</v>
      </c>
      <c r="R94">
        <f t="shared" si="1"/>
        <v>90</v>
      </c>
      <c r="S94">
        <v>21</v>
      </c>
      <c r="T94">
        <v>26</v>
      </c>
      <c r="U94">
        <v>28</v>
      </c>
      <c r="V94">
        <v>15</v>
      </c>
      <c r="W94" s="6">
        <v>60</v>
      </c>
      <c r="X94" s="6">
        <v>70</v>
      </c>
      <c r="Y94" s="6">
        <v>2.1</v>
      </c>
      <c r="Z94" s="6">
        <v>4</v>
      </c>
      <c r="AA94" s="6">
        <v>111211</v>
      </c>
      <c r="AB94" s="6">
        <v>111212</v>
      </c>
    </row>
    <row r="95" spans="1:29" x14ac:dyDescent="0.2">
      <c r="A95" s="3">
        <v>11123</v>
      </c>
      <c r="B95" t="s">
        <v>90</v>
      </c>
      <c r="C95" s="8" t="s">
        <v>42</v>
      </c>
      <c r="D95" t="s">
        <v>67</v>
      </c>
      <c r="E95">
        <v>50</v>
      </c>
      <c r="F95">
        <v>30</v>
      </c>
      <c r="G95">
        <v>0</v>
      </c>
      <c r="H95">
        <v>37</v>
      </c>
      <c r="I95">
        <v>73</v>
      </c>
      <c r="J95">
        <v>0</v>
      </c>
      <c r="K95">
        <v>95</v>
      </c>
      <c r="L95">
        <v>46</v>
      </c>
      <c r="M95">
        <v>67</v>
      </c>
      <c r="N95">
        <v>16.5</v>
      </c>
      <c r="O95">
        <v>1</v>
      </c>
      <c r="P95">
        <v>26</v>
      </c>
      <c r="Q95">
        <v>3</v>
      </c>
      <c r="R95">
        <f t="shared" si="1"/>
        <v>32</v>
      </c>
      <c r="S95">
        <v>16</v>
      </c>
      <c r="T95">
        <v>12</v>
      </c>
      <c r="U95">
        <v>4</v>
      </c>
      <c r="V95">
        <v>0</v>
      </c>
      <c r="W95" s="6">
        <v>30</v>
      </c>
      <c r="X95" s="6">
        <v>35</v>
      </c>
      <c r="Y95" s="6">
        <v>1.1200000000000001</v>
      </c>
      <c r="Z95" s="6">
        <v>2.1</v>
      </c>
      <c r="AA95" s="6">
        <v>111231</v>
      </c>
      <c r="AB95" s="6"/>
    </row>
    <row r="96" spans="1:29" x14ac:dyDescent="0.2">
      <c r="A96" s="3">
        <v>11124</v>
      </c>
      <c r="B96" t="s">
        <v>90</v>
      </c>
      <c r="C96" s="8" t="s">
        <v>43</v>
      </c>
      <c r="D96" t="s">
        <v>69</v>
      </c>
      <c r="E96">
        <v>50</v>
      </c>
      <c r="F96">
        <v>30</v>
      </c>
      <c r="G96">
        <v>0</v>
      </c>
      <c r="H96">
        <v>37</v>
      </c>
      <c r="I96">
        <v>70</v>
      </c>
      <c r="J96">
        <v>16</v>
      </c>
      <c r="K96">
        <v>96</v>
      </c>
      <c r="L96">
        <v>46</v>
      </c>
      <c r="M96">
        <v>67</v>
      </c>
      <c r="N96">
        <v>16.5</v>
      </c>
      <c r="O96">
        <v>1</v>
      </c>
      <c r="P96">
        <v>25</v>
      </c>
      <c r="Q96">
        <v>3</v>
      </c>
      <c r="R96">
        <f t="shared" si="1"/>
        <v>32</v>
      </c>
      <c r="S96">
        <v>16</v>
      </c>
      <c r="T96">
        <v>12</v>
      </c>
      <c r="U96">
        <v>4</v>
      </c>
      <c r="V96">
        <v>0</v>
      </c>
      <c r="W96" s="6">
        <v>30</v>
      </c>
      <c r="X96" s="6">
        <v>35</v>
      </c>
      <c r="Y96" s="6">
        <v>1.28</v>
      </c>
      <c r="Z96" s="6">
        <v>2.4</v>
      </c>
      <c r="AA96" s="6">
        <v>111231</v>
      </c>
      <c r="AB96" s="6"/>
    </row>
    <row r="97" spans="1:28" x14ac:dyDescent="0.2">
      <c r="A97" s="3">
        <v>11125</v>
      </c>
      <c r="B97" t="s">
        <v>90</v>
      </c>
      <c r="C97" s="8" t="s">
        <v>89</v>
      </c>
      <c r="D97" t="s">
        <v>70</v>
      </c>
      <c r="E97">
        <v>55</v>
      </c>
      <c r="F97">
        <v>35</v>
      </c>
      <c r="G97">
        <v>0</v>
      </c>
      <c r="H97">
        <v>41</v>
      </c>
      <c r="I97">
        <v>85</v>
      </c>
      <c r="J97">
        <v>0</v>
      </c>
      <c r="K97">
        <v>95</v>
      </c>
      <c r="L97">
        <v>61</v>
      </c>
      <c r="M97">
        <v>72</v>
      </c>
      <c r="N97">
        <v>25</v>
      </c>
      <c r="O97">
        <v>1</v>
      </c>
      <c r="P97">
        <v>27</v>
      </c>
      <c r="Q97">
        <v>3</v>
      </c>
      <c r="R97">
        <f t="shared" si="1"/>
        <v>46</v>
      </c>
      <c r="S97">
        <v>15</v>
      </c>
      <c r="T97">
        <v>23</v>
      </c>
      <c r="U97">
        <v>8</v>
      </c>
      <c r="V97">
        <v>0</v>
      </c>
      <c r="W97" s="6">
        <v>50</v>
      </c>
      <c r="X97" s="6">
        <v>50</v>
      </c>
      <c r="Y97" s="6">
        <v>1.1499999999999999</v>
      </c>
      <c r="Z97" s="6">
        <v>2.2000000000000002</v>
      </c>
      <c r="AA97" s="6">
        <v>111251</v>
      </c>
      <c r="AB97" s="6"/>
    </row>
    <row r="98" spans="1:28" x14ac:dyDescent="0.2">
      <c r="A98" s="3">
        <v>11126</v>
      </c>
      <c r="B98" t="s">
        <v>90</v>
      </c>
      <c r="C98" s="8" t="s">
        <v>44</v>
      </c>
      <c r="D98" t="s">
        <v>67</v>
      </c>
      <c r="E98">
        <v>51</v>
      </c>
      <c r="F98">
        <v>30</v>
      </c>
      <c r="G98">
        <v>0</v>
      </c>
      <c r="H98">
        <v>43</v>
      </c>
      <c r="I98">
        <v>82</v>
      </c>
      <c r="J98">
        <v>0</v>
      </c>
      <c r="K98">
        <v>95</v>
      </c>
      <c r="L98">
        <v>63</v>
      </c>
      <c r="M98">
        <v>72</v>
      </c>
      <c r="N98">
        <v>31</v>
      </c>
      <c r="O98">
        <v>1</v>
      </c>
      <c r="P98">
        <v>10</v>
      </c>
      <c r="Q98">
        <v>3</v>
      </c>
      <c r="R98">
        <f t="shared" si="1"/>
        <v>39</v>
      </c>
      <c r="S98">
        <v>10</v>
      </c>
      <c r="T98">
        <v>19</v>
      </c>
      <c r="U98">
        <v>10</v>
      </c>
      <c r="V98">
        <v>0</v>
      </c>
      <c r="W98" s="6">
        <v>30</v>
      </c>
      <c r="X98" s="6">
        <v>35</v>
      </c>
      <c r="Y98" s="6">
        <v>1.1200000000000001</v>
      </c>
      <c r="Z98" s="6">
        <v>2.1</v>
      </c>
      <c r="AA98" s="6">
        <v>111261</v>
      </c>
      <c r="AB98" s="6"/>
    </row>
    <row r="99" spans="1:28" x14ac:dyDescent="0.2">
      <c r="A99" s="3">
        <v>11130</v>
      </c>
      <c r="B99" t="s">
        <v>209</v>
      </c>
      <c r="C99" s="8" t="s">
        <v>2028</v>
      </c>
      <c r="D99" s="3" t="s">
        <v>68</v>
      </c>
      <c r="E99" s="6">
        <v>62</v>
      </c>
      <c r="F99" s="6">
        <v>77</v>
      </c>
      <c r="G99" s="6">
        <v>48</v>
      </c>
      <c r="H99" s="6">
        <v>58</v>
      </c>
      <c r="I99" s="6">
        <v>59</v>
      </c>
      <c r="J99" s="6">
        <v>0</v>
      </c>
      <c r="K99" s="6">
        <v>95</v>
      </c>
      <c r="L99" s="6">
        <v>66</v>
      </c>
      <c r="M99" s="6">
        <v>47</v>
      </c>
      <c r="N99" s="6">
        <v>27.5</v>
      </c>
      <c r="O99" s="6">
        <v>3</v>
      </c>
      <c r="P99" s="6">
        <v>10</v>
      </c>
      <c r="Q99" s="6">
        <v>4</v>
      </c>
      <c r="R99">
        <f t="shared" si="1"/>
        <v>6</v>
      </c>
      <c r="S99" s="6">
        <v>2</v>
      </c>
      <c r="T99" s="6">
        <v>2</v>
      </c>
      <c r="U99" s="6">
        <v>2</v>
      </c>
      <c r="V99" s="6">
        <v>0</v>
      </c>
      <c r="W99" s="6">
        <v>35</v>
      </c>
      <c r="X99" s="6">
        <v>80</v>
      </c>
      <c r="Y99" s="6">
        <v>1.28</v>
      </c>
      <c r="Z99" s="6">
        <v>2.64</v>
      </c>
      <c r="AA99" s="6">
        <v>111301</v>
      </c>
      <c r="AB99" s="6">
        <v>111302</v>
      </c>
    </row>
    <row r="100" spans="1:28" x14ac:dyDescent="0.2">
      <c r="A100" s="3">
        <v>11131</v>
      </c>
      <c r="B100" t="s">
        <v>205</v>
      </c>
      <c r="C100" t="s">
        <v>1923</v>
      </c>
      <c r="D100" s="3" t="s">
        <v>3</v>
      </c>
      <c r="E100" s="6">
        <v>46</v>
      </c>
      <c r="F100" s="6">
        <v>57</v>
      </c>
      <c r="G100" s="6">
        <v>68</v>
      </c>
      <c r="H100" s="6">
        <v>49</v>
      </c>
      <c r="I100" s="6">
        <v>57</v>
      </c>
      <c r="J100" s="6">
        <v>0</v>
      </c>
      <c r="K100" s="6">
        <v>97</v>
      </c>
      <c r="L100" s="6">
        <v>87</v>
      </c>
      <c r="M100" s="6">
        <v>53</v>
      </c>
      <c r="N100" s="6">
        <v>35</v>
      </c>
      <c r="O100" s="6">
        <v>2</v>
      </c>
      <c r="P100" s="6">
        <v>13</v>
      </c>
      <c r="Q100" s="6">
        <v>4</v>
      </c>
      <c r="R100">
        <f t="shared" si="1"/>
        <v>6</v>
      </c>
      <c r="S100" s="6">
        <v>2</v>
      </c>
      <c r="T100" s="6">
        <v>2</v>
      </c>
      <c r="U100" s="6">
        <v>2</v>
      </c>
      <c r="V100" s="6">
        <v>0</v>
      </c>
      <c r="W100" s="6">
        <v>40</v>
      </c>
      <c r="X100" s="6">
        <v>65</v>
      </c>
      <c r="Y100" s="6">
        <v>1.28</v>
      </c>
      <c r="Z100" s="6">
        <v>2.4</v>
      </c>
      <c r="AA100" s="6">
        <v>111311</v>
      </c>
      <c r="AB100" s="6"/>
    </row>
    <row r="101" spans="1:28" x14ac:dyDescent="0.2">
      <c r="A101" s="3">
        <v>11132</v>
      </c>
      <c r="B101" t="s">
        <v>205</v>
      </c>
      <c r="C101" t="s">
        <v>1924</v>
      </c>
      <c r="D101" s="3" t="s">
        <v>3</v>
      </c>
      <c r="E101" s="6">
        <v>46</v>
      </c>
      <c r="F101" s="6">
        <v>57</v>
      </c>
      <c r="G101" s="6">
        <v>68</v>
      </c>
      <c r="H101" s="6">
        <v>49</v>
      </c>
      <c r="I101" s="6">
        <v>57</v>
      </c>
      <c r="J101" s="6">
        <v>0</v>
      </c>
      <c r="K101" s="6">
        <v>97</v>
      </c>
      <c r="L101" s="6">
        <v>87</v>
      </c>
      <c r="M101" s="6">
        <v>49</v>
      </c>
      <c r="N101" s="6">
        <v>35</v>
      </c>
      <c r="O101" s="6">
        <v>2</v>
      </c>
      <c r="P101" s="6">
        <v>15</v>
      </c>
      <c r="Q101" s="6">
        <v>4</v>
      </c>
      <c r="R101">
        <f t="shared" si="1"/>
        <v>8</v>
      </c>
      <c r="S101" s="6">
        <v>2</v>
      </c>
      <c r="T101" s="6">
        <v>2</v>
      </c>
      <c r="U101" s="6">
        <v>2</v>
      </c>
      <c r="V101" s="6">
        <v>2</v>
      </c>
      <c r="W101" s="6">
        <v>40</v>
      </c>
      <c r="X101" s="6">
        <v>65</v>
      </c>
      <c r="Y101" s="6">
        <v>1.28</v>
      </c>
      <c r="Z101" s="6">
        <v>2.4</v>
      </c>
      <c r="AA101" s="6">
        <v>111321</v>
      </c>
      <c r="AB101" s="6"/>
    </row>
    <row r="102" spans="1:28" x14ac:dyDescent="0.2">
      <c r="A102" s="3">
        <v>11133</v>
      </c>
      <c r="B102" t="s">
        <v>205</v>
      </c>
      <c r="C102" t="s">
        <v>1925</v>
      </c>
      <c r="D102" s="3" t="s">
        <v>3</v>
      </c>
      <c r="E102" s="6">
        <v>47</v>
      </c>
      <c r="F102" s="6">
        <v>57</v>
      </c>
      <c r="G102" s="6">
        <v>68</v>
      </c>
      <c r="H102" s="6">
        <v>49</v>
      </c>
      <c r="I102" s="6">
        <v>59</v>
      </c>
      <c r="J102" s="6">
        <v>0</v>
      </c>
      <c r="K102" s="6">
        <v>97</v>
      </c>
      <c r="L102" s="6">
        <v>86</v>
      </c>
      <c r="M102" s="6">
        <v>49</v>
      </c>
      <c r="N102" s="6">
        <v>35</v>
      </c>
      <c r="O102" s="6">
        <v>2</v>
      </c>
      <c r="P102" s="6">
        <v>20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111331</v>
      </c>
      <c r="AB102" s="6"/>
    </row>
    <row r="103" spans="1:28" x14ac:dyDescent="0.2">
      <c r="A103" s="3">
        <v>11135</v>
      </c>
      <c r="B103" t="s">
        <v>205</v>
      </c>
      <c r="C103" t="s">
        <v>1926</v>
      </c>
      <c r="D103" s="3" t="s">
        <v>69</v>
      </c>
      <c r="E103" s="6">
        <v>60</v>
      </c>
      <c r="F103" s="6">
        <v>65</v>
      </c>
      <c r="G103" s="6">
        <v>60</v>
      </c>
      <c r="H103" s="6">
        <v>50</v>
      </c>
      <c r="I103" s="6">
        <v>79</v>
      </c>
      <c r="J103" s="6">
        <v>0</v>
      </c>
      <c r="K103" s="6">
        <v>97</v>
      </c>
      <c r="L103" s="6">
        <v>83</v>
      </c>
      <c r="M103" s="6">
        <v>63</v>
      </c>
      <c r="N103" s="6">
        <v>32.5</v>
      </c>
      <c r="O103" s="6">
        <v>2</v>
      </c>
      <c r="P103" s="6">
        <v>13</v>
      </c>
      <c r="Q103" s="6">
        <v>4</v>
      </c>
      <c r="R103">
        <f t="shared" si="1"/>
        <v>0</v>
      </c>
      <c r="S103" s="6">
        <v>0</v>
      </c>
      <c r="T103" s="6">
        <v>0</v>
      </c>
      <c r="U103" s="6">
        <v>0</v>
      </c>
      <c r="V103" s="6">
        <v>0</v>
      </c>
      <c r="W103" s="6">
        <v>35</v>
      </c>
      <c r="X103" s="6">
        <v>70</v>
      </c>
      <c r="Y103" s="6">
        <v>1.28</v>
      </c>
      <c r="Z103" s="6">
        <v>2.4</v>
      </c>
      <c r="AA103" s="6">
        <v>111351</v>
      </c>
      <c r="AB103" s="6"/>
    </row>
    <row r="104" spans="1:28" x14ac:dyDescent="0.2">
      <c r="A104" s="3">
        <v>11136</v>
      </c>
      <c r="B104" t="s">
        <v>205</v>
      </c>
      <c r="C104" t="s">
        <v>1927</v>
      </c>
      <c r="D104" s="3" t="s">
        <v>69</v>
      </c>
      <c r="E104" s="6">
        <v>59</v>
      </c>
      <c r="F104" s="6">
        <v>64</v>
      </c>
      <c r="G104" s="6">
        <v>60</v>
      </c>
      <c r="H104" s="6">
        <v>45</v>
      </c>
      <c r="I104" s="6">
        <v>75</v>
      </c>
      <c r="J104" s="6">
        <v>0</v>
      </c>
      <c r="K104" s="6">
        <v>97</v>
      </c>
      <c r="L104" s="6">
        <v>82</v>
      </c>
      <c r="M104" s="6">
        <v>62</v>
      </c>
      <c r="N104" s="6">
        <v>32.5</v>
      </c>
      <c r="O104" s="6">
        <v>2</v>
      </c>
      <c r="P104" s="6">
        <v>15</v>
      </c>
      <c r="Q104" s="6">
        <v>4</v>
      </c>
      <c r="R104">
        <f t="shared" si="1"/>
        <v>0</v>
      </c>
      <c r="S104" s="6">
        <v>0</v>
      </c>
      <c r="T104" s="6">
        <v>0</v>
      </c>
      <c r="U104" s="6">
        <v>0</v>
      </c>
      <c r="V104" s="6">
        <v>0</v>
      </c>
      <c r="W104" s="6">
        <v>35</v>
      </c>
      <c r="X104" s="6">
        <v>70</v>
      </c>
      <c r="Y104" s="6">
        <v>1.28</v>
      </c>
      <c r="Z104" s="6">
        <v>2.4</v>
      </c>
      <c r="AA104" s="6">
        <v>111351</v>
      </c>
      <c r="AB104" s="6"/>
    </row>
    <row r="105" spans="1:28" x14ac:dyDescent="0.2">
      <c r="A105" s="3">
        <v>11137</v>
      </c>
      <c r="B105" t="s">
        <v>205</v>
      </c>
      <c r="C105" t="s">
        <v>1928</v>
      </c>
      <c r="D105" s="3" t="s">
        <v>67</v>
      </c>
      <c r="E105" s="6">
        <v>52</v>
      </c>
      <c r="F105" s="6">
        <v>73</v>
      </c>
      <c r="G105" s="6">
        <v>0</v>
      </c>
      <c r="H105" s="6">
        <v>55</v>
      </c>
      <c r="I105" s="6">
        <v>86</v>
      </c>
      <c r="J105" s="6">
        <v>0</v>
      </c>
      <c r="K105" s="6">
        <v>97</v>
      </c>
      <c r="L105" s="6">
        <v>83</v>
      </c>
      <c r="M105" s="6">
        <v>53</v>
      </c>
      <c r="N105" s="6">
        <v>32.700000000000003</v>
      </c>
      <c r="O105" s="6">
        <v>2</v>
      </c>
      <c r="P105" s="6">
        <v>23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40</v>
      </c>
      <c r="X105" s="6">
        <v>70</v>
      </c>
      <c r="Y105" s="6">
        <v>1.28</v>
      </c>
      <c r="Z105" s="6">
        <v>2.4</v>
      </c>
      <c r="AA105" s="6">
        <v>111371</v>
      </c>
      <c r="AB105" s="6"/>
    </row>
    <row r="106" spans="1:28" x14ac:dyDescent="0.2">
      <c r="A106" s="3">
        <v>11139</v>
      </c>
      <c r="B106" t="s">
        <v>205</v>
      </c>
      <c r="C106" t="s">
        <v>1929</v>
      </c>
      <c r="D106" s="3" t="s">
        <v>67</v>
      </c>
      <c r="E106" s="6">
        <v>52</v>
      </c>
      <c r="F106" s="6">
        <v>75</v>
      </c>
      <c r="G106" s="6">
        <v>0</v>
      </c>
      <c r="H106" s="6">
        <v>55</v>
      </c>
      <c r="I106" s="6">
        <v>88</v>
      </c>
      <c r="J106" s="6">
        <v>0</v>
      </c>
      <c r="K106" s="6">
        <v>97</v>
      </c>
      <c r="L106" s="6">
        <v>82</v>
      </c>
      <c r="M106" s="6">
        <v>53</v>
      </c>
      <c r="N106" s="6">
        <v>32.5</v>
      </c>
      <c r="O106" s="6">
        <v>2</v>
      </c>
      <c r="P106" s="6">
        <v>27</v>
      </c>
      <c r="Q106" s="6">
        <v>4</v>
      </c>
      <c r="R106">
        <f t="shared" si="1"/>
        <v>8</v>
      </c>
      <c r="S106" s="6">
        <v>2</v>
      </c>
      <c r="T106" s="6">
        <v>2</v>
      </c>
      <c r="U106" s="6">
        <v>2</v>
      </c>
      <c r="V106" s="6">
        <v>2</v>
      </c>
      <c r="W106" s="6">
        <v>40</v>
      </c>
      <c r="X106" s="6">
        <v>70</v>
      </c>
      <c r="Y106" s="6">
        <v>1.28</v>
      </c>
      <c r="Z106" s="6">
        <v>2.4</v>
      </c>
      <c r="AA106" s="6">
        <v>111391</v>
      </c>
      <c r="AB106" s="6"/>
    </row>
    <row r="107" spans="1:28" x14ac:dyDescent="0.2">
      <c r="A107" s="3">
        <v>11141</v>
      </c>
      <c r="B107" t="s">
        <v>205</v>
      </c>
      <c r="C107" t="s">
        <v>1930</v>
      </c>
      <c r="D107" s="3" t="s">
        <v>67</v>
      </c>
      <c r="E107" s="6">
        <v>55</v>
      </c>
      <c r="F107" s="6">
        <v>73</v>
      </c>
      <c r="G107" s="6">
        <v>0</v>
      </c>
      <c r="H107" s="6">
        <v>57</v>
      </c>
      <c r="I107" s="6">
        <v>80</v>
      </c>
      <c r="J107" s="6">
        <v>0</v>
      </c>
      <c r="K107" s="6">
        <v>97</v>
      </c>
      <c r="L107" s="6">
        <v>83</v>
      </c>
      <c r="M107" s="6">
        <v>64</v>
      </c>
      <c r="N107" s="6">
        <v>32.5</v>
      </c>
      <c r="O107" s="6">
        <v>2</v>
      </c>
      <c r="P107" s="6">
        <v>15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111411</v>
      </c>
      <c r="AB107" s="6"/>
    </row>
    <row r="108" spans="1:28" x14ac:dyDescent="0.2">
      <c r="A108" s="3">
        <v>11142</v>
      </c>
      <c r="B108" t="s">
        <v>205</v>
      </c>
      <c r="C108" t="s">
        <v>1931</v>
      </c>
      <c r="D108" s="3" t="s">
        <v>67</v>
      </c>
      <c r="E108" s="6">
        <v>55</v>
      </c>
      <c r="F108" s="6">
        <v>73</v>
      </c>
      <c r="G108" s="6">
        <v>0</v>
      </c>
      <c r="H108" s="6">
        <v>57</v>
      </c>
      <c r="I108" s="6">
        <v>75</v>
      </c>
      <c r="J108" s="6">
        <v>0</v>
      </c>
      <c r="K108" s="6">
        <v>97</v>
      </c>
      <c r="L108" s="6">
        <v>83</v>
      </c>
      <c r="M108" s="6">
        <v>64</v>
      </c>
      <c r="N108" s="6">
        <v>32.5</v>
      </c>
      <c r="O108" s="6">
        <v>2</v>
      </c>
      <c r="P108" s="6">
        <v>15</v>
      </c>
      <c r="Q108" s="6">
        <v>4</v>
      </c>
      <c r="R108">
        <f t="shared" si="1"/>
        <v>0</v>
      </c>
      <c r="S108" s="6">
        <v>0</v>
      </c>
      <c r="T108" s="6">
        <v>0</v>
      </c>
      <c r="U108" s="6">
        <v>0</v>
      </c>
      <c r="V108" s="6">
        <v>0</v>
      </c>
      <c r="W108" s="6">
        <v>40</v>
      </c>
      <c r="X108" s="6">
        <v>70</v>
      </c>
      <c r="Y108" s="6">
        <v>1.28</v>
      </c>
      <c r="Z108" s="6">
        <v>2.4</v>
      </c>
      <c r="AA108" s="6">
        <v>110581</v>
      </c>
      <c r="AB108" s="6"/>
    </row>
    <row r="109" spans="1:28" x14ac:dyDescent="0.2">
      <c r="A109" s="3">
        <v>11143</v>
      </c>
      <c r="B109" t="s">
        <v>205</v>
      </c>
      <c r="C109" t="s">
        <v>1932</v>
      </c>
      <c r="D109" s="3" t="s">
        <v>67</v>
      </c>
      <c r="E109" s="6">
        <v>58</v>
      </c>
      <c r="F109" s="6">
        <v>73</v>
      </c>
      <c r="G109" s="6">
        <v>0</v>
      </c>
      <c r="H109" s="6">
        <v>56</v>
      </c>
      <c r="I109" s="6">
        <v>85</v>
      </c>
      <c r="J109" s="6">
        <v>0</v>
      </c>
      <c r="K109" s="6">
        <v>97</v>
      </c>
      <c r="L109" s="6">
        <v>83</v>
      </c>
      <c r="M109" s="6">
        <v>63</v>
      </c>
      <c r="N109" s="6">
        <v>32.700000000000003</v>
      </c>
      <c r="O109" s="6">
        <v>2</v>
      </c>
      <c r="P109" s="6">
        <v>20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111431</v>
      </c>
      <c r="AB109" s="6"/>
    </row>
    <row r="110" spans="1:28" x14ac:dyDescent="0.2">
      <c r="A110" s="29">
        <v>11158</v>
      </c>
      <c r="B110" t="s">
        <v>204</v>
      </c>
      <c r="C110" s="29" t="s">
        <v>2724</v>
      </c>
      <c r="D110" t="s">
        <v>67</v>
      </c>
      <c r="E110">
        <v>42</v>
      </c>
      <c r="F110">
        <v>67</v>
      </c>
      <c r="G110">
        <v>0</v>
      </c>
      <c r="H110">
        <v>49</v>
      </c>
      <c r="I110">
        <v>108</v>
      </c>
      <c r="J110">
        <v>110</v>
      </c>
      <c r="K110" s="1">
        <v>96</v>
      </c>
      <c r="L110">
        <v>79</v>
      </c>
      <c r="M110">
        <v>44</v>
      </c>
      <c r="N110">
        <v>33.6</v>
      </c>
      <c r="O110">
        <v>2</v>
      </c>
      <c r="P110">
        <v>20</v>
      </c>
      <c r="Q110">
        <v>3</v>
      </c>
      <c r="R110" s="18">
        <f t="shared" si="1"/>
        <v>0</v>
      </c>
      <c r="S110">
        <v>0</v>
      </c>
      <c r="T110">
        <v>0</v>
      </c>
      <c r="U110">
        <v>0</v>
      </c>
      <c r="V110">
        <v>0</v>
      </c>
      <c r="W110">
        <v>25</v>
      </c>
      <c r="X110">
        <v>30</v>
      </c>
      <c r="Y110">
        <v>0.8</v>
      </c>
      <c r="Z110">
        <v>1.5</v>
      </c>
      <c r="AA110">
        <v>111581</v>
      </c>
    </row>
    <row r="111" spans="1:28" x14ac:dyDescent="0.2">
      <c r="A111" s="3">
        <v>11160</v>
      </c>
      <c r="B111" t="s">
        <v>204</v>
      </c>
      <c r="C111" t="s">
        <v>2001</v>
      </c>
      <c r="D111" s="3" t="s">
        <v>80</v>
      </c>
      <c r="E111" s="6">
        <v>43</v>
      </c>
      <c r="F111" s="6">
        <v>58</v>
      </c>
      <c r="G111" s="6">
        <v>67</v>
      </c>
      <c r="H111" s="6">
        <v>38</v>
      </c>
      <c r="I111" s="6">
        <v>67</v>
      </c>
      <c r="J111" s="6">
        <v>72</v>
      </c>
      <c r="K111" s="6">
        <v>96</v>
      </c>
      <c r="L111" s="6">
        <v>80</v>
      </c>
      <c r="M111" s="6">
        <v>29</v>
      </c>
      <c r="N111" s="6">
        <v>35</v>
      </c>
      <c r="O111" s="6">
        <v>2</v>
      </c>
      <c r="P111" s="6">
        <v>20</v>
      </c>
      <c r="Q111" s="6">
        <v>3</v>
      </c>
      <c r="R111">
        <f t="shared" si="1"/>
        <v>6</v>
      </c>
      <c r="S111" s="6">
        <v>2</v>
      </c>
      <c r="T111" s="6">
        <v>2</v>
      </c>
      <c r="U111" s="6">
        <v>2</v>
      </c>
      <c r="V111" s="6">
        <v>0</v>
      </c>
      <c r="W111" s="6">
        <v>25</v>
      </c>
      <c r="X111" s="6">
        <v>25</v>
      </c>
      <c r="Y111" s="6">
        <v>0.8</v>
      </c>
      <c r="Z111" s="6">
        <v>1.5</v>
      </c>
      <c r="AA111" s="6">
        <v>111601</v>
      </c>
      <c r="AB111" s="6"/>
    </row>
    <row r="112" spans="1:28" x14ac:dyDescent="0.2">
      <c r="A112" s="3">
        <v>11162</v>
      </c>
      <c r="B112" t="s">
        <v>204</v>
      </c>
      <c r="C112" t="s">
        <v>1940</v>
      </c>
      <c r="D112" s="3" t="s">
        <v>1937</v>
      </c>
      <c r="E112" s="6">
        <v>33</v>
      </c>
      <c r="F112" s="6">
        <v>47</v>
      </c>
      <c r="G112" s="6">
        <v>58</v>
      </c>
      <c r="H112" s="6">
        <v>33</v>
      </c>
      <c r="I112" s="6">
        <v>65</v>
      </c>
      <c r="J112" s="6">
        <v>80</v>
      </c>
      <c r="K112" s="6">
        <v>97</v>
      </c>
      <c r="L112" s="6">
        <v>68</v>
      </c>
      <c r="M112" s="6">
        <v>38</v>
      </c>
      <c r="N112" s="6">
        <v>20</v>
      </c>
      <c r="O112" s="6">
        <v>2</v>
      </c>
      <c r="P112" s="6">
        <v>35</v>
      </c>
      <c r="Q112" s="6">
        <v>3</v>
      </c>
      <c r="R112">
        <f t="shared" si="1"/>
        <v>0</v>
      </c>
      <c r="S112" s="6">
        <v>0</v>
      </c>
      <c r="T112" s="6">
        <v>0</v>
      </c>
      <c r="U112" s="6">
        <v>0</v>
      </c>
      <c r="V112" s="6">
        <v>0</v>
      </c>
      <c r="W112" s="6">
        <v>30</v>
      </c>
      <c r="X112" s="6">
        <v>35</v>
      </c>
      <c r="Y112" s="6">
        <v>0.8</v>
      </c>
      <c r="Z112" s="6">
        <v>1.5</v>
      </c>
      <c r="AA112" s="6">
        <v>111621</v>
      </c>
      <c r="AB112" s="6"/>
    </row>
    <row r="113" spans="1:29" x14ac:dyDescent="0.2">
      <c r="A113" s="3">
        <v>11164</v>
      </c>
      <c r="B113" t="s">
        <v>203</v>
      </c>
      <c r="C113" t="s">
        <v>1971</v>
      </c>
      <c r="D113" s="3" t="s">
        <v>3</v>
      </c>
      <c r="E113" s="6">
        <v>34</v>
      </c>
      <c r="F113" s="6">
        <v>40</v>
      </c>
      <c r="G113" s="6">
        <v>85</v>
      </c>
      <c r="H113" s="6">
        <v>38</v>
      </c>
      <c r="I113" s="6">
        <v>70</v>
      </c>
      <c r="J113" s="6">
        <v>70</v>
      </c>
      <c r="K113" s="6">
        <v>93</v>
      </c>
      <c r="L113" s="6">
        <v>84</v>
      </c>
      <c r="M113" s="6">
        <v>41</v>
      </c>
      <c r="N113" s="6">
        <v>33</v>
      </c>
      <c r="O113" s="6">
        <v>1</v>
      </c>
      <c r="P113" s="6">
        <v>10</v>
      </c>
      <c r="Q113" s="6">
        <v>3</v>
      </c>
      <c r="R113">
        <f t="shared" si="1"/>
        <v>0</v>
      </c>
      <c r="S113" s="6">
        <v>0</v>
      </c>
      <c r="T113" s="6">
        <v>0</v>
      </c>
      <c r="U113" s="6">
        <v>0</v>
      </c>
      <c r="V113" s="6">
        <v>0</v>
      </c>
      <c r="W113" s="6">
        <v>15</v>
      </c>
      <c r="X113" s="6">
        <v>25</v>
      </c>
      <c r="Y113" s="6">
        <v>0.48</v>
      </c>
      <c r="Z113" s="6">
        <v>0.9</v>
      </c>
      <c r="AA113" s="6">
        <v>111641</v>
      </c>
      <c r="AB113" s="6"/>
    </row>
    <row r="114" spans="1:29" x14ac:dyDescent="0.2">
      <c r="A114" s="3">
        <v>11165</v>
      </c>
      <c r="B114" t="s">
        <v>203</v>
      </c>
      <c r="C114" t="s">
        <v>1972</v>
      </c>
      <c r="D114" s="3" t="s">
        <v>3</v>
      </c>
      <c r="E114" s="6">
        <v>34</v>
      </c>
      <c r="F114" s="6">
        <v>40</v>
      </c>
      <c r="G114" s="6">
        <v>85</v>
      </c>
      <c r="H114" s="6">
        <v>38</v>
      </c>
      <c r="I114" s="6">
        <v>72</v>
      </c>
      <c r="J114" s="6">
        <v>67</v>
      </c>
      <c r="K114" s="6">
        <v>92</v>
      </c>
      <c r="L114" s="6">
        <v>84</v>
      </c>
      <c r="M114" s="6">
        <v>41</v>
      </c>
      <c r="N114" s="6">
        <v>34</v>
      </c>
      <c r="O114" s="6">
        <v>1</v>
      </c>
      <c r="P114" s="6">
        <v>15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15</v>
      </c>
      <c r="X114" s="6">
        <v>25</v>
      </c>
      <c r="Y114" s="6">
        <v>0.48</v>
      </c>
      <c r="Z114" s="6">
        <v>0.9</v>
      </c>
      <c r="AA114" s="6">
        <v>111641</v>
      </c>
      <c r="AB114" s="6"/>
    </row>
    <row r="115" spans="1:29" x14ac:dyDescent="0.2">
      <c r="A115" s="3">
        <v>11166</v>
      </c>
      <c r="B115" t="s">
        <v>203</v>
      </c>
      <c r="C115" t="s">
        <v>1973</v>
      </c>
      <c r="D115" s="3" t="s">
        <v>3</v>
      </c>
      <c r="E115" s="6">
        <v>31</v>
      </c>
      <c r="F115" s="6">
        <v>38</v>
      </c>
      <c r="G115" s="6">
        <v>97</v>
      </c>
      <c r="H115" s="6">
        <v>38</v>
      </c>
      <c r="I115" s="6">
        <v>55</v>
      </c>
      <c r="J115" s="6">
        <v>69</v>
      </c>
      <c r="K115" s="6">
        <v>93</v>
      </c>
      <c r="L115" s="6">
        <v>94</v>
      </c>
      <c r="M115" s="6">
        <v>39</v>
      </c>
      <c r="N115" s="6">
        <v>34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20</v>
      </c>
      <c r="Y115" s="6">
        <v>0.48</v>
      </c>
      <c r="Z115" s="6">
        <v>0.9</v>
      </c>
      <c r="AA115" s="6">
        <v>111661</v>
      </c>
      <c r="AB115" s="6"/>
    </row>
    <row r="116" spans="1:29" x14ac:dyDescent="0.2">
      <c r="A116" s="3">
        <v>11167</v>
      </c>
      <c r="B116" t="s">
        <v>203</v>
      </c>
      <c r="C116" t="s">
        <v>1974</v>
      </c>
      <c r="D116" s="3" t="s">
        <v>3</v>
      </c>
      <c r="E116" s="6">
        <v>31</v>
      </c>
      <c r="F116" s="6">
        <v>38</v>
      </c>
      <c r="G116" s="6">
        <v>97</v>
      </c>
      <c r="H116" s="6">
        <v>38</v>
      </c>
      <c r="I116" s="6">
        <v>50</v>
      </c>
      <c r="J116" s="6">
        <v>69</v>
      </c>
      <c r="K116" s="6">
        <v>92</v>
      </c>
      <c r="L116" s="6">
        <v>94</v>
      </c>
      <c r="M116" s="6">
        <v>39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20</v>
      </c>
      <c r="Y116" s="6">
        <v>0.48</v>
      </c>
      <c r="Z116" s="6">
        <v>0.9</v>
      </c>
      <c r="AA116" s="6">
        <v>111671</v>
      </c>
      <c r="AB116" s="6"/>
    </row>
    <row r="117" spans="1:29" x14ac:dyDescent="0.2">
      <c r="A117" s="3">
        <v>11168</v>
      </c>
      <c r="B117" t="s">
        <v>203</v>
      </c>
      <c r="C117" t="s">
        <v>1975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52</v>
      </c>
      <c r="J117" s="6">
        <v>74</v>
      </c>
      <c r="K117" s="6">
        <v>92</v>
      </c>
      <c r="L117" s="6">
        <v>94</v>
      </c>
      <c r="M117" s="6">
        <v>40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111681</v>
      </c>
      <c r="AB117" s="6"/>
    </row>
    <row r="118" spans="1:29" x14ac:dyDescent="0.2">
      <c r="A118" s="3">
        <v>11169</v>
      </c>
      <c r="B118" t="s">
        <v>203</v>
      </c>
      <c r="C118" t="s">
        <v>1976</v>
      </c>
      <c r="D118" s="3" t="s">
        <v>1937</v>
      </c>
      <c r="E118" s="6">
        <v>32</v>
      </c>
      <c r="F118" s="6">
        <v>37</v>
      </c>
      <c r="G118" s="6">
        <v>83</v>
      </c>
      <c r="H118" s="6">
        <v>34</v>
      </c>
      <c r="I118" s="6">
        <v>75</v>
      </c>
      <c r="J118" s="6">
        <v>89</v>
      </c>
      <c r="K118" s="6">
        <v>95</v>
      </c>
      <c r="L118" s="6">
        <v>104</v>
      </c>
      <c r="M118" s="6">
        <v>40</v>
      </c>
      <c r="N118" s="6">
        <v>35</v>
      </c>
      <c r="O118" s="6">
        <v>1</v>
      </c>
      <c r="P118" s="6">
        <v>53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25</v>
      </c>
      <c r="Y118" s="6">
        <v>0.45</v>
      </c>
      <c r="Z118" s="6">
        <v>0.8</v>
      </c>
      <c r="AA118" s="6">
        <v>111691</v>
      </c>
      <c r="AB118" s="6">
        <v>111692</v>
      </c>
    </row>
    <row r="119" spans="1:29" x14ac:dyDescent="0.2">
      <c r="A119" s="3">
        <v>11171</v>
      </c>
      <c r="B119" t="s">
        <v>203</v>
      </c>
      <c r="C119" t="s">
        <v>1977</v>
      </c>
      <c r="D119" s="3" t="s">
        <v>68</v>
      </c>
      <c r="E119" s="6">
        <v>36</v>
      </c>
      <c r="F119" s="6">
        <v>40</v>
      </c>
      <c r="G119" s="6">
        <v>83</v>
      </c>
      <c r="H119" s="6">
        <v>38</v>
      </c>
      <c r="I119" s="6">
        <v>68</v>
      </c>
      <c r="J119" s="6">
        <v>68</v>
      </c>
      <c r="K119" s="6">
        <v>95</v>
      </c>
      <c r="L119" s="6">
        <v>92</v>
      </c>
      <c r="M119" s="6">
        <v>21</v>
      </c>
      <c r="N119" s="6">
        <v>36</v>
      </c>
      <c r="O119" s="6">
        <v>1</v>
      </c>
      <c r="P119" s="6">
        <v>8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10</v>
      </c>
      <c r="X119" s="6">
        <v>20</v>
      </c>
      <c r="Y119" s="6">
        <v>0.48</v>
      </c>
      <c r="Z119" s="6">
        <v>0.9</v>
      </c>
      <c r="AA119" s="6">
        <v>111711</v>
      </c>
      <c r="AB119" s="6"/>
      <c r="AC119" s="3" t="s">
        <v>2082</v>
      </c>
    </row>
    <row r="120" spans="1:29" x14ac:dyDescent="0.2">
      <c r="A120" s="3">
        <v>11175</v>
      </c>
      <c r="B120" t="s">
        <v>203</v>
      </c>
      <c r="C120" t="s">
        <v>1978</v>
      </c>
      <c r="D120" s="3" t="s">
        <v>69</v>
      </c>
      <c r="E120" s="6">
        <v>29</v>
      </c>
      <c r="F120" s="6">
        <v>40</v>
      </c>
      <c r="G120" s="6">
        <v>87</v>
      </c>
      <c r="H120" s="6">
        <v>39</v>
      </c>
      <c r="I120" s="6">
        <v>57</v>
      </c>
      <c r="J120" s="6">
        <v>89</v>
      </c>
      <c r="K120" s="6">
        <v>93</v>
      </c>
      <c r="L120" s="6">
        <v>92</v>
      </c>
      <c r="M120" s="6">
        <v>37</v>
      </c>
      <c r="N120" s="6">
        <v>37</v>
      </c>
      <c r="O120" s="6">
        <v>1</v>
      </c>
      <c r="P120" s="6">
        <v>20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0.48</v>
      </c>
      <c r="Z120" s="6">
        <v>0.9</v>
      </c>
      <c r="AA120" s="6">
        <v>111751</v>
      </c>
      <c r="AB120" s="6"/>
    </row>
    <row r="121" spans="1:29" x14ac:dyDescent="0.2">
      <c r="A121" s="3">
        <v>11178</v>
      </c>
      <c r="B121" t="s">
        <v>203</v>
      </c>
      <c r="C121" t="s">
        <v>1979</v>
      </c>
      <c r="D121" s="3" t="s">
        <v>67</v>
      </c>
      <c r="E121" s="6">
        <v>32</v>
      </c>
      <c r="F121" s="6">
        <v>41</v>
      </c>
      <c r="G121" s="6">
        <v>83</v>
      </c>
      <c r="H121" s="6">
        <v>39</v>
      </c>
      <c r="I121" s="6">
        <v>80</v>
      </c>
      <c r="J121" s="6">
        <v>115</v>
      </c>
      <c r="K121" s="6">
        <v>92</v>
      </c>
      <c r="L121" s="6">
        <v>91</v>
      </c>
      <c r="M121" s="6">
        <v>43</v>
      </c>
      <c r="N121" s="6">
        <v>37</v>
      </c>
      <c r="O121" s="6">
        <v>1</v>
      </c>
      <c r="P121" s="6">
        <v>35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15</v>
      </c>
      <c r="X121" s="6">
        <v>25</v>
      </c>
      <c r="Y121" s="6">
        <v>0.48</v>
      </c>
      <c r="Z121" s="6">
        <v>0.9</v>
      </c>
      <c r="AA121" s="6">
        <v>111781</v>
      </c>
      <c r="AB121" s="6"/>
    </row>
    <row r="122" spans="1:29" x14ac:dyDescent="0.2">
      <c r="A122" s="3">
        <v>11181</v>
      </c>
      <c r="B122" t="s">
        <v>203</v>
      </c>
      <c r="C122" t="s">
        <v>1980</v>
      </c>
      <c r="D122" s="3" t="s">
        <v>67</v>
      </c>
      <c r="E122" s="6">
        <v>32</v>
      </c>
      <c r="F122" s="6">
        <v>41</v>
      </c>
      <c r="G122" s="6">
        <v>85</v>
      </c>
      <c r="H122" s="6">
        <v>39</v>
      </c>
      <c r="I122" s="6">
        <v>75</v>
      </c>
      <c r="J122" s="6">
        <v>84</v>
      </c>
      <c r="K122" s="6">
        <v>93</v>
      </c>
      <c r="L122" s="6">
        <v>91</v>
      </c>
      <c r="M122" s="6">
        <v>37</v>
      </c>
      <c r="N122" s="6">
        <v>37</v>
      </c>
      <c r="O122" s="6">
        <v>1</v>
      </c>
      <c r="P122" s="6">
        <v>10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111811</v>
      </c>
      <c r="AB122" s="6">
        <v>111812</v>
      </c>
    </row>
    <row r="123" spans="1:29" x14ac:dyDescent="0.2">
      <c r="A123" s="3">
        <v>11182</v>
      </c>
      <c r="B123" t="s">
        <v>203</v>
      </c>
      <c r="C123" t="s">
        <v>1981</v>
      </c>
      <c r="D123" s="3" t="s">
        <v>67</v>
      </c>
      <c r="E123" s="6">
        <v>33</v>
      </c>
      <c r="F123" s="6">
        <v>49</v>
      </c>
      <c r="G123" s="6">
        <v>85</v>
      </c>
      <c r="H123" s="6">
        <v>40</v>
      </c>
      <c r="I123" s="6">
        <v>65</v>
      </c>
      <c r="J123" s="6">
        <v>79</v>
      </c>
      <c r="K123" s="6">
        <v>93</v>
      </c>
      <c r="L123" s="6">
        <v>90</v>
      </c>
      <c r="M123" s="6">
        <v>37</v>
      </c>
      <c r="N123" s="6">
        <v>38.5</v>
      </c>
      <c r="O123" s="6">
        <v>1</v>
      </c>
      <c r="P123" s="6">
        <v>9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111821</v>
      </c>
      <c r="AB123" s="6"/>
    </row>
    <row r="124" spans="1:29" x14ac:dyDescent="0.2">
      <c r="A124" s="3">
        <v>11183</v>
      </c>
      <c r="B124" t="s">
        <v>203</v>
      </c>
      <c r="C124" t="s">
        <v>1982</v>
      </c>
      <c r="D124" s="3" t="s">
        <v>67</v>
      </c>
      <c r="E124" s="6">
        <v>37</v>
      </c>
      <c r="F124" s="6">
        <v>41</v>
      </c>
      <c r="G124" s="6">
        <v>83</v>
      </c>
      <c r="H124" s="6">
        <v>40</v>
      </c>
      <c r="I124" s="6">
        <v>75</v>
      </c>
      <c r="J124" s="6">
        <v>84</v>
      </c>
      <c r="K124" s="6">
        <v>94</v>
      </c>
      <c r="L124" s="6">
        <v>90</v>
      </c>
      <c r="M124" s="6">
        <v>37</v>
      </c>
      <c r="N124" s="6">
        <v>38.5</v>
      </c>
      <c r="O124" s="6">
        <v>1</v>
      </c>
      <c r="P124" s="6">
        <v>45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111831</v>
      </c>
      <c r="AB124" s="6"/>
    </row>
    <row r="125" spans="1:29" x14ac:dyDescent="0.2">
      <c r="A125" s="3">
        <v>11185</v>
      </c>
      <c r="B125" t="s">
        <v>203</v>
      </c>
      <c r="C125" t="s">
        <v>1983</v>
      </c>
      <c r="D125" s="3" t="s">
        <v>80</v>
      </c>
      <c r="E125" s="6">
        <v>33</v>
      </c>
      <c r="F125" s="6">
        <v>40</v>
      </c>
      <c r="G125" s="6">
        <v>75</v>
      </c>
      <c r="H125" s="6">
        <v>40</v>
      </c>
      <c r="I125" s="6">
        <v>70</v>
      </c>
      <c r="J125" s="6">
        <v>78</v>
      </c>
      <c r="K125" s="6">
        <v>94</v>
      </c>
      <c r="L125" s="6">
        <v>93</v>
      </c>
      <c r="M125" s="6">
        <v>43</v>
      </c>
      <c r="N125" s="6">
        <v>38</v>
      </c>
      <c r="O125" s="6">
        <v>1</v>
      </c>
      <c r="P125" s="6">
        <v>21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111851</v>
      </c>
      <c r="AB125" s="6"/>
    </row>
    <row r="126" spans="1:29" x14ac:dyDescent="0.2">
      <c r="A126" s="3">
        <v>11187</v>
      </c>
      <c r="B126" t="s">
        <v>203</v>
      </c>
      <c r="C126" t="s">
        <v>1984</v>
      </c>
      <c r="D126" s="3" t="s">
        <v>71</v>
      </c>
      <c r="E126" s="6">
        <v>35</v>
      </c>
      <c r="F126" s="6">
        <v>38</v>
      </c>
      <c r="G126" s="6">
        <v>80</v>
      </c>
      <c r="H126" s="6">
        <v>40</v>
      </c>
      <c r="I126" s="6">
        <v>53</v>
      </c>
      <c r="J126" s="6">
        <v>65</v>
      </c>
      <c r="K126" s="6">
        <v>94</v>
      </c>
      <c r="L126" s="6">
        <v>94</v>
      </c>
      <c r="M126" s="6">
        <v>29</v>
      </c>
      <c r="N126" s="6">
        <v>39</v>
      </c>
      <c r="O126" s="6">
        <v>1</v>
      </c>
      <c r="P126" s="6">
        <v>15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111871</v>
      </c>
      <c r="AB126" s="6"/>
    </row>
    <row r="127" spans="1:29" x14ac:dyDescent="0.2">
      <c r="A127" s="3">
        <v>11188</v>
      </c>
      <c r="B127" t="s">
        <v>203</v>
      </c>
      <c r="C127" t="s">
        <v>1985</v>
      </c>
      <c r="D127" s="3" t="s">
        <v>71</v>
      </c>
      <c r="E127" s="6">
        <v>35</v>
      </c>
      <c r="F127" s="6">
        <v>38</v>
      </c>
      <c r="G127" s="6">
        <v>82</v>
      </c>
      <c r="H127" s="6">
        <v>40</v>
      </c>
      <c r="I127" s="6">
        <v>51</v>
      </c>
      <c r="J127" s="6">
        <v>65</v>
      </c>
      <c r="K127" s="6">
        <v>94</v>
      </c>
      <c r="L127" s="6">
        <v>94</v>
      </c>
      <c r="M127" s="6">
        <v>40</v>
      </c>
      <c r="N127" s="6">
        <v>39</v>
      </c>
      <c r="O127" s="6">
        <v>1</v>
      </c>
      <c r="P127" s="6">
        <v>20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111881</v>
      </c>
      <c r="AB127" s="6"/>
    </row>
    <row r="128" spans="1:29" x14ac:dyDescent="0.2">
      <c r="A128" s="3">
        <v>11192</v>
      </c>
      <c r="B128" t="s">
        <v>203</v>
      </c>
      <c r="C128" t="s">
        <v>1986</v>
      </c>
      <c r="D128" s="3" t="s">
        <v>80</v>
      </c>
      <c r="E128" s="6">
        <v>36</v>
      </c>
      <c r="F128" s="6">
        <v>46</v>
      </c>
      <c r="G128" s="6">
        <v>87</v>
      </c>
      <c r="H128" s="6">
        <v>40</v>
      </c>
      <c r="I128" s="6">
        <v>65</v>
      </c>
      <c r="J128" s="6">
        <v>69</v>
      </c>
      <c r="K128" s="6">
        <v>95</v>
      </c>
      <c r="L128" s="6">
        <v>104</v>
      </c>
      <c r="M128" s="6">
        <v>18</v>
      </c>
      <c r="N128" s="6">
        <v>42.7</v>
      </c>
      <c r="O128" s="6">
        <v>1</v>
      </c>
      <c r="P128" s="6">
        <v>17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20</v>
      </c>
      <c r="Y128" s="6">
        <v>0.65</v>
      </c>
      <c r="Z128" s="6">
        <v>1.1000000000000001</v>
      </c>
      <c r="AA128" s="6">
        <v>111921</v>
      </c>
      <c r="AB128" s="6"/>
    </row>
    <row r="129" spans="1:29" x14ac:dyDescent="0.2">
      <c r="A129" s="15">
        <v>11194</v>
      </c>
      <c r="B129" t="s">
        <v>208</v>
      </c>
      <c r="C129" s="16" t="s">
        <v>2054</v>
      </c>
      <c r="D129" s="5" t="s">
        <v>67</v>
      </c>
      <c r="E129" s="17">
        <v>17</v>
      </c>
      <c r="F129" s="17">
        <v>26</v>
      </c>
      <c r="G129" s="17">
        <v>89</v>
      </c>
      <c r="H129" s="17">
        <v>32</v>
      </c>
      <c r="I129" s="17">
        <v>0</v>
      </c>
      <c r="J129" s="18">
        <v>0</v>
      </c>
      <c r="K129" s="18">
        <v>108</v>
      </c>
      <c r="L129" s="18">
        <v>47</v>
      </c>
      <c r="M129" s="18">
        <v>49</v>
      </c>
      <c r="N129" s="17">
        <v>21</v>
      </c>
      <c r="O129" s="18">
        <v>1</v>
      </c>
      <c r="P129" s="17">
        <v>25</v>
      </c>
      <c r="Q129" s="18">
        <v>3</v>
      </c>
      <c r="R129">
        <f t="shared" si="1"/>
        <v>0</v>
      </c>
      <c r="S129" s="18">
        <v>0</v>
      </c>
      <c r="T129" s="18">
        <v>0</v>
      </c>
      <c r="U129" s="18">
        <v>0</v>
      </c>
      <c r="V129" s="18">
        <v>0</v>
      </c>
      <c r="W129" s="18">
        <v>20</v>
      </c>
      <c r="X129" s="18">
        <v>25</v>
      </c>
      <c r="Y129" s="18">
        <v>0.64</v>
      </c>
      <c r="Z129" s="18">
        <v>0.75</v>
      </c>
      <c r="AA129" s="6">
        <v>111941</v>
      </c>
      <c r="AB129" s="6"/>
    </row>
    <row r="130" spans="1:29" x14ac:dyDescent="0.2">
      <c r="A130" s="15">
        <v>11195</v>
      </c>
      <c r="B130" t="s">
        <v>208</v>
      </c>
      <c r="C130" s="16" t="s">
        <v>2055</v>
      </c>
      <c r="D130" s="5" t="s">
        <v>67</v>
      </c>
      <c r="E130" s="17">
        <v>17</v>
      </c>
      <c r="F130" s="17">
        <v>26</v>
      </c>
      <c r="G130" s="17">
        <v>89</v>
      </c>
      <c r="H130" s="17">
        <v>32</v>
      </c>
      <c r="I130" s="17">
        <v>0</v>
      </c>
      <c r="J130" s="18">
        <v>0</v>
      </c>
      <c r="K130" s="18">
        <v>108</v>
      </c>
      <c r="L130" s="18">
        <v>47</v>
      </c>
      <c r="M130" s="18">
        <v>49</v>
      </c>
      <c r="N130" s="17">
        <v>21</v>
      </c>
      <c r="O130" s="18">
        <v>1</v>
      </c>
      <c r="P130" s="17">
        <v>30</v>
      </c>
      <c r="Q130" s="18">
        <v>3</v>
      </c>
      <c r="R130">
        <f t="shared" ref="R130:R193" si="2">SUM($S130:$V130)</f>
        <v>0</v>
      </c>
      <c r="S130" s="18">
        <v>0</v>
      </c>
      <c r="T130" s="18">
        <v>0</v>
      </c>
      <c r="U130" s="18">
        <v>0</v>
      </c>
      <c r="V130" s="18">
        <v>0</v>
      </c>
      <c r="W130" s="18">
        <v>20</v>
      </c>
      <c r="X130" s="18">
        <v>25</v>
      </c>
      <c r="Y130" s="18">
        <v>0.64</v>
      </c>
      <c r="Z130" s="18">
        <v>0.75</v>
      </c>
      <c r="AA130" s="6">
        <v>111951</v>
      </c>
      <c r="AB130" s="6"/>
    </row>
    <row r="131" spans="1:29" x14ac:dyDescent="0.2">
      <c r="A131" s="15">
        <v>11197</v>
      </c>
      <c r="B131" t="s">
        <v>208</v>
      </c>
      <c r="C131" s="16" t="s">
        <v>2056</v>
      </c>
      <c r="D131" s="5" t="s">
        <v>68</v>
      </c>
      <c r="E131" s="17">
        <v>15</v>
      </c>
      <c r="F131" s="17">
        <v>25</v>
      </c>
      <c r="G131" s="17">
        <v>80</v>
      </c>
      <c r="H131" s="17">
        <v>30</v>
      </c>
      <c r="I131" s="17">
        <v>0</v>
      </c>
      <c r="J131" s="18">
        <v>0</v>
      </c>
      <c r="K131" s="18">
        <v>102</v>
      </c>
      <c r="L131" s="18">
        <v>45</v>
      </c>
      <c r="M131" s="18">
        <v>48</v>
      </c>
      <c r="N131" s="17">
        <v>18</v>
      </c>
      <c r="O131" s="18">
        <v>1</v>
      </c>
      <c r="P131" s="17">
        <v>20</v>
      </c>
      <c r="Q131" s="18">
        <v>3</v>
      </c>
      <c r="R131">
        <f t="shared" si="2"/>
        <v>0</v>
      </c>
      <c r="S131" s="18">
        <v>0</v>
      </c>
      <c r="T131" s="18">
        <v>0</v>
      </c>
      <c r="U131" s="18">
        <v>0</v>
      </c>
      <c r="V131" s="18">
        <v>0</v>
      </c>
      <c r="W131" s="18">
        <v>15</v>
      </c>
      <c r="X131" s="18">
        <v>20</v>
      </c>
      <c r="Y131" s="18">
        <v>0.6</v>
      </c>
      <c r="Z131" s="18">
        <v>0.5</v>
      </c>
      <c r="AA131" s="6">
        <v>111971</v>
      </c>
      <c r="AB131" s="6">
        <v>111972</v>
      </c>
      <c r="AC131" s="3" t="s">
        <v>2057</v>
      </c>
    </row>
    <row r="132" spans="1:29" x14ac:dyDescent="0.2">
      <c r="A132" s="3">
        <v>11198</v>
      </c>
      <c r="B132" t="s">
        <v>208</v>
      </c>
      <c r="C132" t="s">
        <v>2483</v>
      </c>
      <c r="D132" t="s">
        <v>68</v>
      </c>
      <c r="E132">
        <v>16</v>
      </c>
      <c r="F132">
        <v>24</v>
      </c>
      <c r="G132">
        <v>78</v>
      </c>
      <c r="H132">
        <v>31</v>
      </c>
      <c r="I132">
        <v>5</v>
      </c>
      <c r="J132">
        <v>0</v>
      </c>
      <c r="K132" s="1">
        <v>102</v>
      </c>
      <c r="L132">
        <v>45</v>
      </c>
      <c r="M132">
        <v>53</v>
      </c>
      <c r="N132">
        <v>18</v>
      </c>
      <c r="O132">
        <v>1</v>
      </c>
      <c r="P132">
        <v>19</v>
      </c>
      <c r="Q132">
        <v>3</v>
      </c>
      <c r="R132" s="18">
        <f t="shared" si="2"/>
        <v>0</v>
      </c>
      <c r="S132">
        <v>0</v>
      </c>
      <c r="T132">
        <v>0</v>
      </c>
      <c r="U132">
        <v>0</v>
      </c>
      <c r="V132">
        <v>0</v>
      </c>
      <c r="W132">
        <v>20</v>
      </c>
      <c r="X132">
        <v>20</v>
      </c>
      <c r="Y132">
        <v>0.65</v>
      </c>
      <c r="Z132">
        <v>0.55000000000000004</v>
      </c>
      <c r="AA132">
        <v>111981</v>
      </c>
      <c r="AC132" s="3" t="s">
        <v>2057</v>
      </c>
    </row>
    <row r="133" spans="1:29" x14ac:dyDescent="0.2">
      <c r="A133" s="2">
        <v>11199</v>
      </c>
      <c r="B133" t="s">
        <v>2063</v>
      </c>
      <c r="C133" t="s">
        <v>2064</v>
      </c>
      <c r="D133" t="s">
        <v>2041</v>
      </c>
      <c r="E133">
        <v>25</v>
      </c>
      <c r="F133">
        <v>55</v>
      </c>
      <c r="G133">
        <v>68</v>
      </c>
      <c r="H133">
        <v>35</v>
      </c>
      <c r="I133">
        <v>0</v>
      </c>
      <c r="J133">
        <v>0</v>
      </c>
      <c r="K133">
        <v>96</v>
      </c>
      <c r="L133">
        <v>46</v>
      </c>
      <c r="M133">
        <v>45</v>
      </c>
      <c r="N133">
        <v>18.5</v>
      </c>
      <c r="O133">
        <v>1</v>
      </c>
      <c r="P133">
        <v>10</v>
      </c>
      <c r="Q133">
        <v>3</v>
      </c>
      <c r="R133">
        <f t="shared" si="2"/>
        <v>0</v>
      </c>
      <c r="S133">
        <v>0</v>
      </c>
      <c r="T133">
        <v>0</v>
      </c>
      <c r="U133">
        <v>0</v>
      </c>
      <c r="V133">
        <v>0</v>
      </c>
      <c r="W133">
        <v>25</v>
      </c>
      <c r="X133">
        <v>40</v>
      </c>
      <c r="Y133">
        <v>1</v>
      </c>
      <c r="Z133">
        <v>1</v>
      </c>
      <c r="AA133" s="6">
        <v>111991</v>
      </c>
      <c r="AB133" s="6"/>
    </row>
    <row r="134" spans="1:29" x14ac:dyDescent="0.2">
      <c r="A134" s="3">
        <v>11206</v>
      </c>
      <c r="B134" t="s">
        <v>206</v>
      </c>
      <c r="C134" s="8" t="s">
        <v>1861</v>
      </c>
      <c r="D134" s="3" t="s">
        <v>67</v>
      </c>
      <c r="E134" s="10">
        <v>80</v>
      </c>
      <c r="F134" s="10">
        <v>120</v>
      </c>
      <c r="G134" s="10">
        <v>0</v>
      </c>
      <c r="H134" s="10">
        <v>98</v>
      </c>
      <c r="I134" s="10">
        <v>103</v>
      </c>
      <c r="J134" s="6">
        <v>0</v>
      </c>
      <c r="K134" s="6">
        <v>102</v>
      </c>
      <c r="L134" s="6">
        <v>62</v>
      </c>
      <c r="M134" s="6">
        <v>51</v>
      </c>
      <c r="N134" s="10">
        <v>28</v>
      </c>
      <c r="O134" s="6">
        <v>3</v>
      </c>
      <c r="P134" s="10">
        <v>25</v>
      </c>
      <c r="Q134" s="6">
        <v>4</v>
      </c>
      <c r="R134">
        <f t="shared" si="2"/>
        <v>0</v>
      </c>
      <c r="S134" s="10">
        <v>0</v>
      </c>
      <c r="T134" s="10">
        <v>0</v>
      </c>
      <c r="U134" s="10">
        <v>0</v>
      </c>
      <c r="V134" s="10">
        <v>0</v>
      </c>
      <c r="W134" s="6">
        <v>95</v>
      </c>
      <c r="X134" s="6">
        <v>140</v>
      </c>
      <c r="Y134" s="6">
        <v>4.2</v>
      </c>
      <c r="Z134" s="6">
        <v>8</v>
      </c>
      <c r="AA134" s="6">
        <v>112061</v>
      </c>
      <c r="AB134" s="6">
        <v>112062</v>
      </c>
    </row>
    <row r="135" spans="1:29" x14ac:dyDescent="0.2">
      <c r="A135" s="3">
        <v>11207</v>
      </c>
      <c r="B135" t="s">
        <v>206</v>
      </c>
      <c r="C135" s="8" t="s">
        <v>1862</v>
      </c>
      <c r="D135" s="3" t="s">
        <v>67</v>
      </c>
      <c r="E135" s="10">
        <v>80</v>
      </c>
      <c r="F135" s="10">
        <v>120</v>
      </c>
      <c r="G135" s="10">
        <v>0</v>
      </c>
      <c r="H135" s="10">
        <v>105</v>
      </c>
      <c r="I135" s="10">
        <v>108</v>
      </c>
      <c r="J135" s="6">
        <v>0</v>
      </c>
      <c r="K135" s="6">
        <v>102</v>
      </c>
      <c r="L135" s="6">
        <v>61</v>
      </c>
      <c r="M135" s="6">
        <v>51</v>
      </c>
      <c r="N135" s="10">
        <v>27.5</v>
      </c>
      <c r="O135" s="6">
        <v>3</v>
      </c>
      <c r="P135" s="10">
        <v>25</v>
      </c>
      <c r="Q135" s="6">
        <v>4</v>
      </c>
      <c r="R135">
        <f t="shared" si="2"/>
        <v>12</v>
      </c>
      <c r="S135" s="10">
        <v>3</v>
      </c>
      <c r="T135" s="10">
        <v>3</v>
      </c>
      <c r="U135" s="10">
        <v>3</v>
      </c>
      <c r="V135" s="10">
        <v>3</v>
      </c>
      <c r="W135" s="6">
        <v>95</v>
      </c>
      <c r="X135" s="6">
        <v>145</v>
      </c>
      <c r="Y135" s="6">
        <v>4.2</v>
      </c>
      <c r="Z135" s="6">
        <v>8</v>
      </c>
      <c r="AA135" s="6">
        <v>112071</v>
      </c>
      <c r="AB135" s="6">
        <v>112072</v>
      </c>
      <c r="AC135" s="3" t="s">
        <v>2282</v>
      </c>
    </row>
    <row r="136" spans="1:29" x14ac:dyDescent="0.2">
      <c r="A136" s="3">
        <v>11209</v>
      </c>
      <c r="B136" t="s">
        <v>2039</v>
      </c>
      <c r="C136" t="s">
        <v>1864</v>
      </c>
      <c r="D136" t="s">
        <v>2034</v>
      </c>
      <c r="E136">
        <v>92</v>
      </c>
      <c r="F136">
        <v>118</v>
      </c>
      <c r="G136">
        <v>0</v>
      </c>
      <c r="H136">
        <v>107</v>
      </c>
      <c r="I136">
        <v>116</v>
      </c>
      <c r="J136">
        <v>0</v>
      </c>
      <c r="K136">
        <v>103</v>
      </c>
      <c r="L136">
        <v>59</v>
      </c>
      <c r="M136">
        <v>47</v>
      </c>
      <c r="N136">
        <v>33</v>
      </c>
      <c r="O136">
        <v>3</v>
      </c>
      <c r="P136">
        <v>28</v>
      </c>
      <c r="Q136">
        <v>4</v>
      </c>
      <c r="R136">
        <f t="shared" si="2"/>
        <v>32</v>
      </c>
      <c r="S136">
        <v>8</v>
      </c>
      <c r="T136">
        <v>8</v>
      </c>
      <c r="U136">
        <v>8</v>
      </c>
      <c r="V136">
        <v>8</v>
      </c>
      <c r="W136">
        <v>145</v>
      </c>
      <c r="X136">
        <v>200</v>
      </c>
      <c r="Y136">
        <v>4.8</v>
      </c>
      <c r="Z136">
        <v>9</v>
      </c>
      <c r="AA136" s="6">
        <v>102091</v>
      </c>
      <c r="AB136" s="6">
        <v>112092</v>
      </c>
      <c r="AC136" s="3" t="s">
        <v>2564</v>
      </c>
    </row>
    <row r="137" spans="1:29" x14ac:dyDescent="0.2">
      <c r="A137" s="3">
        <v>11211</v>
      </c>
      <c r="B137" t="s">
        <v>206</v>
      </c>
      <c r="C137" s="8" t="s">
        <v>1913</v>
      </c>
      <c r="D137" s="3" t="s">
        <v>71</v>
      </c>
      <c r="E137" s="10">
        <v>64</v>
      </c>
      <c r="F137" s="10">
        <v>89</v>
      </c>
      <c r="G137" s="10">
        <v>0</v>
      </c>
      <c r="H137" s="10">
        <v>89</v>
      </c>
      <c r="I137" s="10">
        <v>72</v>
      </c>
      <c r="J137" s="6">
        <v>0</v>
      </c>
      <c r="K137" s="6">
        <v>102</v>
      </c>
      <c r="L137" s="6">
        <v>63</v>
      </c>
      <c r="M137" s="6">
        <v>40</v>
      </c>
      <c r="N137" s="10">
        <v>27</v>
      </c>
      <c r="O137" s="6">
        <v>3</v>
      </c>
      <c r="P137" s="10">
        <v>20</v>
      </c>
      <c r="Q137" s="6">
        <v>4</v>
      </c>
      <c r="R137">
        <f t="shared" si="2"/>
        <v>12</v>
      </c>
      <c r="S137" s="10">
        <v>3</v>
      </c>
      <c r="T137" s="10">
        <v>3</v>
      </c>
      <c r="U137" s="10">
        <v>3</v>
      </c>
      <c r="V137" s="10">
        <v>3</v>
      </c>
      <c r="W137" s="6">
        <v>70</v>
      </c>
      <c r="X137" s="6">
        <v>110</v>
      </c>
      <c r="Y137" s="6">
        <v>2.25</v>
      </c>
      <c r="Z137" s="6">
        <v>4.55</v>
      </c>
      <c r="AA137" s="6">
        <v>112111</v>
      </c>
      <c r="AB137" s="6"/>
    </row>
    <row r="138" spans="1:29" x14ac:dyDescent="0.2">
      <c r="A138" s="3">
        <v>11219</v>
      </c>
      <c r="B138" t="s">
        <v>21</v>
      </c>
      <c r="C138" s="8" t="s">
        <v>45</v>
      </c>
      <c r="D138" t="s">
        <v>3</v>
      </c>
      <c r="E138">
        <v>72</v>
      </c>
      <c r="F138">
        <v>45</v>
      </c>
      <c r="G138">
        <v>0</v>
      </c>
      <c r="H138">
        <v>72</v>
      </c>
      <c r="I138">
        <v>79</v>
      </c>
      <c r="J138">
        <v>0</v>
      </c>
      <c r="K138">
        <v>102</v>
      </c>
      <c r="L138">
        <v>69</v>
      </c>
      <c r="M138">
        <v>85</v>
      </c>
      <c r="N138">
        <v>34.200000000000003</v>
      </c>
      <c r="O138">
        <v>1</v>
      </c>
      <c r="P138">
        <v>40</v>
      </c>
      <c r="Q138">
        <v>4</v>
      </c>
      <c r="R138">
        <f t="shared" si="2"/>
        <v>87</v>
      </c>
      <c r="S138">
        <v>24</v>
      </c>
      <c r="T138">
        <v>24</v>
      </c>
      <c r="U138">
        <v>24</v>
      </c>
      <c r="V138">
        <v>15</v>
      </c>
      <c r="W138" s="6">
        <v>60</v>
      </c>
      <c r="X138" s="6">
        <v>55</v>
      </c>
      <c r="Y138" s="6">
        <v>2.4</v>
      </c>
      <c r="Z138" s="6">
        <v>4.5</v>
      </c>
      <c r="AA138" s="6">
        <v>112191</v>
      </c>
      <c r="AB138" s="6"/>
    </row>
    <row r="139" spans="1:29" x14ac:dyDescent="0.2">
      <c r="A139" s="3">
        <v>11220</v>
      </c>
      <c r="B139" t="s">
        <v>21</v>
      </c>
      <c r="C139" s="8" t="s">
        <v>46</v>
      </c>
      <c r="D139" t="s">
        <v>3</v>
      </c>
      <c r="E139">
        <v>72</v>
      </c>
      <c r="F139">
        <v>45</v>
      </c>
      <c r="G139">
        <v>0</v>
      </c>
      <c r="H139">
        <v>65</v>
      </c>
      <c r="I139">
        <v>75</v>
      </c>
      <c r="J139">
        <v>0</v>
      </c>
      <c r="K139">
        <v>102</v>
      </c>
      <c r="L139">
        <v>62</v>
      </c>
      <c r="M139">
        <v>90</v>
      </c>
      <c r="N139">
        <v>34.200000000000003</v>
      </c>
      <c r="O139">
        <v>1</v>
      </c>
      <c r="P139">
        <v>9</v>
      </c>
      <c r="Q139">
        <v>4</v>
      </c>
      <c r="R139">
        <f t="shared" si="2"/>
        <v>87</v>
      </c>
      <c r="S139">
        <v>24</v>
      </c>
      <c r="T139">
        <v>24</v>
      </c>
      <c r="U139">
        <v>24</v>
      </c>
      <c r="V139">
        <v>15</v>
      </c>
      <c r="W139" s="6">
        <v>60</v>
      </c>
      <c r="X139" s="6">
        <v>55</v>
      </c>
      <c r="Y139" s="6">
        <v>2.4</v>
      </c>
      <c r="Z139" s="6">
        <v>4.5</v>
      </c>
      <c r="AA139" s="6">
        <v>112201</v>
      </c>
      <c r="AB139" s="6"/>
    </row>
    <row r="140" spans="1:29" x14ac:dyDescent="0.2">
      <c r="A140" s="3">
        <v>11221</v>
      </c>
      <c r="B140" t="s">
        <v>21</v>
      </c>
      <c r="C140" s="8" t="s">
        <v>47</v>
      </c>
      <c r="D140" t="s">
        <v>3</v>
      </c>
      <c r="E140">
        <v>58</v>
      </c>
      <c r="F140">
        <v>45</v>
      </c>
      <c r="G140">
        <v>0</v>
      </c>
      <c r="H140">
        <v>60</v>
      </c>
      <c r="I140">
        <v>65</v>
      </c>
      <c r="J140">
        <v>0</v>
      </c>
      <c r="K140">
        <v>101</v>
      </c>
      <c r="L140">
        <v>65</v>
      </c>
      <c r="M140">
        <v>65</v>
      </c>
      <c r="N140">
        <v>34.5</v>
      </c>
      <c r="O140">
        <v>1</v>
      </c>
      <c r="P140">
        <v>13</v>
      </c>
      <c r="Q140">
        <v>4</v>
      </c>
      <c r="R140">
        <f t="shared" si="2"/>
        <v>73</v>
      </c>
      <c r="S140">
        <v>21</v>
      </c>
      <c r="T140">
        <v>23</v>
      </c>
      <c r="U140">
        <v>23</v>
      </c>
      <c r="V140">
        <v>6</v>
      </c>
      <c r="W140" s="6">
        <v>60</v>
      </c>
      <c r="X140" s="6">
        <v>60</v>
      </c>
      <c r="Y140" s="6">
        <v>2.4</v>
      </c>
      <c r="Z140" s="6">
        <v>4.3</v>
      </c>
      <c r="AA140" s="6">
        <v>112211</v>
      </c>
      <c r="AB140" s="6">
        <v>112212</v>
      </c>
    </row>
    <row r="141" spans="1:29" x14ac:dyDescent="0.2">
      <c r="A141" s="3">
        <v>11222</v>
      </c>
      <c r="B141" t="s">
        <v>21</v>
      </c>
      <c r="C141" s="8" t="s">
        <v>48</v>
      </c>
      <c r="D141" t="s">
        <v>3</v>
      </c>
      <c r="E141">
        <v>56</v>
      </c>
      <c r="F141">
        <v>45</v>
      </c>
      <c r="G141">
        <v>0</v>
      </c>
      <c r="H141">
        <v>59</v>
      </c>
      <c r="I141">
        <v>65</v>
      </c>
      <c r="J141">
        <v>0</v>
      </c>
      <c r="K141">
        <v>101</v>
      </c>
      <c r="L141">
        <v>65</v>
      </c>
      <c r="M141">
        <v>65</v>
      </c>
      <c r="N141">
        <v>34.5</v>
      </c>
      <c r="O141">
        <v>1</v>
      </c>
      <c r="P141">
        <v>10</v>
      </c>
      <c r="Q141">
        <v>4</v>
      </c>
      <c r="R141">
        <f t="shared" si="2"/>
        <v>70</v>
      </c>
      <c r="S141">
        <v>20</v>
      </c>
      <c r="T141">
        <v>26</v>
      </c>
      <c r="U141">
        <v>18</v>
      </c>
      <c r="V141">
        <v>6</v>
      </c>
      <c r="W141" s="6">
        <v>60</v>
      </c>
      <c r="X141" s="6">
        <v>60</v>
      </c>
      <c r="Y141" s="6">
        <v>2.4</v>
      </c>
      <c r="Z141" s="6">
        <v>4.2</v>
      </c>
      <c r="AA141" s="6">
        <v>112221</v>
      </c>
      <c r="AB141" s="6"/>
    </row>
    <row r="142" spans="1:29" x14ac:dyDescent="0.2">
      <c r="A142" s="3">
        <v>11223</v>
      </c>
      <c r="B142" t="s">
        <v>75</v>
      </c>
      <c r="C142" s="8" t="s">
        <v>49</v>
      </c>
      <c r="D142" t="s">
        <v>3</v>
      </c>
      <c r="E142">
        <v>111</v>
      </c>
      <c r="F142">
        <v>45</v>
      </c>
      <c r="G142">
        <v>0</v>
      </c>
      <c r="H142">
        <v>103</v>
      </c>
      <c r="I142">
        <v>73</v>
      </c>
      <c r="J142">
        <v>0</v>
      </c>
      <c r="K142">
        <v>92</v>
      </c>
      <c r="L142">
        <v>50</v>
      </c>
      <c r="M142">
        <v>74</v>
      </c>
      <c r="N142">
        <v>27</v>
      </c>
      <c r="O142">
        <v>1</v>
      </c>
      <c r="P142">
        <v>5</v>
      </c>
      <c r="Q142">
        <v>4</v>
      </c>
      <c r="R142">
        <f t="shared" si="2"/>
        <v>72</v>
      </c>
      <c r="S142">
        <v>12</v>
      </c>
      <c r="T142">
        <v>17</v>
      </c>
      <c r="U142">
        <v>31</v>
      </c>
      <c r="V142">
        <v>12</v>
      </c>
      <c r="W142" s="6">
        <v>135</v>
      </c>
      <c r="X142" s="6">
        <v>140</v>
      </c>
      <c r="Y142" s="6">
        <v>3.9</v>
      </c>
      <c r="Z142" s="6">
        <v>7</v>
      </c>
      <c r="AA142" s="6">
        <v>112231</v>
      </c>
      <c r="AB142" s="6">
        <v>112232</v>
      </c>
    </row>
    <row r="143" spans="1:29" x14ac:dyDescent="0.2">
      <c r="A143" s="3">
        <v>11224</v>
      </c>
      <c r="B143" t="s">
        <v>75</v>
      </c>
      <c r="C143" s="8" t="s">
        <v>1846</v>
      </c>
      <c r="D143" t="s">
        <v>69</v>
      </c>
      <c r="E143">
        <v>81</v>
      </c>
      <c r="F143">
        <v>45</v>
      </c>
      <c r="G143">
        <v>0</v>
      </c>
      <c r="H143">
        <v>99</v>
      </c>
      <c r="I143">
        <v>95</v>
      </c>
      <c r="J143">
        <v>0</v>
      </c>
      <c r="K143" s="1">
        <v>97</v>
      </c>
      <c r="L143">
        <v>65</v>
      </c>
      <c r="M143">
        <v>72</v>
      </c>
      <c r="N143">
        <v>30.5</v>
      </c>
      <c r="O143">
        <v>1</v>
      </c>
      <c r="P143">
        <v>24</v>
      </c>
      <c r="Q143">
        <v>4</v>
      </c>
      <c r="R143">
        <f t="shared" si="2"/>
        <v>69</v>
      </c>
      <c r="S143">
        <v>15</v>
      </c>
      <c r="T143">
        <v>25</v>
      </c>
      <c r="U143">
        <v>15</v>
      </c>
      <c r="V143">
        <v>14</v>
      </c>
      <c r="W143" s="6">
        <v>70</v>
      </c>
      <c r="X143" s="6">
        <v>65</v>
      </c>
      <c r="Y143" s="6">
        <v>2.88</v>
      </c>
      <c r="Z143" s="6">
        <v>5.6</v>
      </c>
      <c r="AA143" s="6">
        <v>102241</v>
      </c>
      <c r="AB143" s="6">
        <v>112242</v>
      </c>
    </row>
    <row r="144" spans="1:29" x14ac:dyDescent="0.2">
      <c r="A144" s="3">
        <v>11225</v>
      </c>
      <c r="B144" t="s">
        <v>21</v>
      </c>
      <c r="C144" s="8" t="s">
        <v>51</v>
      </c>
      <c r="D144" t="s">
        <v>67</v>
      </c>
      <c r="E144">
        <v>56</v>
      </c>
      <c r="F144">
        <v>40</v>
      </c>
      <c r="G144">
        <v>0</v>
      </c>
      <c r="H144">
        <v>62</v>
      </c>
      <c r="I144">
        <v>82</v>
      </c>
      <c r="J144">
        <v>0</v>
      </c>
      <c r="K144">
        <v>101</v>
      </c>
      <c r="L144">
        <v>57</v>
      </c>
      <c r="M144">
        <v>67</v>
      </c>
      <c r="N144">
        <v>29.5</v>
      </c>
      <c r="O144">
        <v>1</v>
      </c>
      <c r="P144">
        <v>10</v>
      </c>
      <c r="Q144">
        <v>4</v>
      </c>
      <c r="R144">
        <f t="shared" si="2"/>
        <v>82</v>
      </c>
      <c r="S144">
        <v>20</v>
      </c>
      <c r="T144">
        <v>17</v>
      </c>
      <c r="U144">
        <v>30</v>
      </c>
      <c r="V144">
        <v>15</v>
      </c>
      <c r="W144" s="6">
        <v>55</v>
      </c>
      <c r="X144" s="6">
        <v>60</v>
      </c>
      <c r="Y144" s="6">
        <v>2.08</v>
      </c>
      <c r="Z144" s="6">
        <v>3.9</v>
      </c>
      <c r="AA144" s="6">
        <v>112251</v>
      </c>
      <c r="AB144" s="6"/>
    </row>
    <row r="145" spans="1:29" x14ac:dyDescent="0.2">
      <c r="A145" s="3">
        <v>11227</v>
      </c>
      <c r="B145" t="s">
        <v>90</v>
      </c>
      <c r="C145" s="8" t="s">
        <v>53</v>
      </c>
      <c r="D145" t="s">
        <v>3</v>
      </c>
      <c r="E145">
        <v>70</v>
      </c>
      <c r="F145">
        <v>30</v>
      </c>
      <c r="G145">
        <v>0</v>
      </c>
      <c r="H145">
        <v>45</v>
      </c>
      <c r="I145">
        <v>63</v>
      </c>
      <c r="J145">
        <v>0</v>
      </c>
      <c r="K145">
        <v>95</v>
      </c>
      <c r="L145">
        <v>51</v>
      </c>
      <c r="M145">
        <v>65</v>
      </c>
      <c r="N145">
        <v>25.5</v>
      </c>
      <c r="O145">
        <v>1</v>
      </c>
      <c r="P145">
        <v>9</v>
      </c>
      <c r="Q145">
        <v>3</v>
      </c>
      <c r="R145">
        <f t="shared" si="2"/>
        <v>55</v>
      </c>
      <c r="S145">
        <v>15</v>
      </c>
      <c r="T145">
        <v>20</v>
      </c>
      <c r="U145">
        <v>20</v>
      </c>
      <c r="V145">
        <v>0</v>
      </c>
      <c r="W145" s="6">
        <v>35</v>
      </c>
      <c r="X145" s="6">
        <v>35</v>
      </c>
      <c r="Y145" s="6">
        <v>1.28</v>
      </c>
      <c r="Z145" s="6">
        <v>2.4</v>
      </c>
      <c r="AA145" s="6">
        <v>112271</v>
      </c>
      <c r="AB145" s="6"/>
    </row>
    <row r="146" spans="1:29" x14ac:dyDescent="0.2">
      <c r="A146" s="3">
        <v>11228</v>
      </c>
      <c r="B146" t="s">
        <v>90</v>
      </c>
      <c r="C146" s="8" t="s">
        <v>54</v>
      </c>
      <c r="D146" t="s">
        <v>3</v>
      </c>
      <c r="E146">
        <v>70</v>
      </c>
      <c r="F146">
        <v>30</v>
      </c>
      <c r="G146">
        <v>0</v>
      </c>
      <c r="H146">
        <v>47</v>
      </c>
      <c r="I146">
        <v>66</v>
      </c>
      <c r="J146">
        <v>0</v>
      </c>
      <c r="K146">
        <v>95</v>
      </c>
      <c r="L146">
        <v>51</v>
      </c>
      <c r="M146">
        <v>65</v>
      </c>
      <c r="N146">
        <v>25.5</v>
      </c>
      <c r="O146">
        <v>1</v>
      </c>
      <c r="P146">
        <v>22</v>
      </c>
      <c r="Q146">
        <v>3</v>
      </c>
      <c r="R146">
        <f t="shared" si="2"/>
        <v>55</v>
      </c>
      <c r="S146">
        <v>15</v>
      </c>
      <c r="T146">
        <v>20</v>
      </c>
      <c r="U146">
        <v>20</v>
      </c>
      <c r="V146">
        <v>0</v>
      </c>
      <c r="W146" s="6">
        <v>35</v>
      </c>
      <c r="X146" s="6">
        <v>35</v>
      </c>
      <c r="Y146" s="6">
        <v>1.28</v>
      </c>
      <c r="Z146" s="6">
        <v>2.4</v>
      </c>
      <c r="AA146" s="6">
        <v>112281</v>
      </c>
      <c r="AB146" s="6"/>
    </row>
    <row r="147" spans="1:29" x14ac:dyDescent="0.2">
      <c r="A147" s="3">
        <v>11232</v>
      </c>
      <c r="B147" t="s">
        <v>21</v>
      </c>
      <c r="C147" t="s">
        <v>2545</v>
      </c>
      <c r="D147" t="s">
        <v>70</v>
      </c>
      <c r="E147">
        <v>72</v>
      </c>
      <c r="F147">
        <v>40</v>
      </c>
      <c r="G147">
        <v>0</v>
      </c>
      <c r="H147">
        <v>63</v>
      </c>
      <c r="I147">
        <v>75</v>
      </c>
      <c r="J147">
        <v>0</v>
      </c>
      <c r="K147" s="1">
        <v>100</v>
      </c>
      <c r="L147">
        <v>49</v>
      </c>
      <c r="M147">
        <v>59</v>
      </c>
      <c r="N147">
        <v>21.5</v>
      </c>
      <c r="O147">
        <v>1</v>
      </c>
      <c r="P147">
        <v>19</v>
      </c>
      <c r="Q147">
        <v>4</v>
      </c>
      <c r="R147" s="18">
        <f t="shared" si="2"/>
        <v>56</v>
      </c>
      <c r="S147">
        <v>15</v>
      </c>
      <c r="T147">
        <v>17</v>
      </c>
      <c r="U147">
        <v>12</v>
      </c>
      <c r="V147">
        <v>12</v>
      </c>
      <c r="W147">
        <v>50</v>
      </c>
      <c r="X147">
        <v>60</v>
      </c>
      <c r="Y147">
        <v>2.08</v>
      </c>
      <c r="Z147">
        <v>3.8</v>
      </c>
      <c r="AA147">
        <v>112321</v>
      </c>
    </row>
    <row r="148" spans="1:29" x14ac:dyDescent="0.2">
      <c r="A148" s="3">
        <v>11233</v>
      </c>
      <c r="B148" t="s">
        <v>1942</v>
      </c>
      <c r="C148" s="8" t="s">
        <v>1943</v>
      </c>
      <c r="D148" s="3" t="s">
        <v>3</v>
      </c>
      <c r="E148" s="6">
        <v>52</v>
      </c>
      <c r="F148" s="6">
        <v>63</v>
      </c>
      <c r="G148" s="6">
        <v>79</v>
      </c>
      <c r="H148" s="6">
        <v>52</v>
      </c>
      <c r="I148" s="6">
        <v>65</v>
      </c>
      <c r="J148" s="6">
        <v>52</v>
      </c>
      <c r="K148" s="6">
        <v>100</v>
      </c>
      <c r="L148" s="6">
        <v>87</v>
      </c>
      <c r="M148" s="6">
        <v>51</v>
      </c>
      <c r="N148" s="6">
        <v>35</v>
      </c>
      <c r="O148" s="6">
        <v>2</v>
      </c>
      <c r="P148" s="6">
        <v>10</v>
      </c>
      <c r="Q148" s="6">
        <v>4</v>
      </c>
      <c r="R148">
        <f t="shared" si="2"/>
        <v>12</v>
      </c>
      <c r="S148" s="6">
        <v>0</v>
      </c>
      <c r="T148" s="6">
        <v>0</v>
      </c>
      <c r="U148" s="6">
        <v>0</v>
      </c>
      <c r="V148" s="6">
        <v>12</v>
      </c>
      <c r="W148" s="6">
        <v>40</v>
      </c>
      <c r="X148" s="6">
        <v>75</v>
      </c>
      <c r="Y148" s="6">
        <v>1.3</v>
      </c>
      <c r="Z148" s="6">
        <v>2.4</v>
      </c>
      <c r="AA148" s="6">
        <v>112331</v>
      </c>
      <c r="AB148" s="6"/>
    </row>
    <row r="149" spans="1:29" x14ac:dyDescent="0.2">
      <c r="A149" s="3">
        <v>11238</v>
      </c>
      <c r="B149" t="s">
        <v>205</v>
      </c>
      <c r="C149" t="s">
        <v>2357</v>
      </c>
      <c r="D149" t="s">
        <v>69</v>
      </c>
      <c r="E149">
        <v>48</v>
      </c>
      <c r="F149">
        <v>63</v>
      </c>
      <c r="G149">
        <v>58</v>
      </c>
      <c r="H149">
        <v>48</v>
      </c>
      <c r="I149">
        <v>70</v>
      </c>
      <c r="J149">
        <v>0</v>
      </c>
      <c r="K149" s="1">
        <v>97</v>
      </c>
      <c r="L149">
        <v>82</v>
      </c>
      <c r="M149">
        <v>62</v>
      </c>
      <c r="N149">
        <v>32</v>
      </c>
      <c r="O149">
        <v>2</v>
      </c>
      <c r="P149">
        <v>9</v>
      </c>
      <c r="Q149">
        <v>4</v>
      </c>
      <c r="R149" s="18">
        <f t="shared" si="2"/>
        <v>8</v>
      </c>
      <c r="S149">
        <v>2</v>
      </c>
      <c r="T149">
        <v>2</v>
      </c>
      <c r="U149">
        <v>2</v>
      </c>
      <c r="V149">
        <v>2</v>
      </c>
      <c r="W149" s="6">
        <v>35</v>
      </c>
      <c r="X149" s="6">
        <v>70</v>
      </c>
      <c r="Y149" s="6">
        <v>1.28</v>
      </c>
      <c r="Z149" s="6">
        <v>2.4</v>
      </c>
      <c r="AA149" s="6">
        <v>112381</v>
      </c>
    </row>
    <row r="150" spans="1:29" x14ac:dyDescent="0.2">
      <c r="A150" s="3">
        <v>11239</v>
      </c>
      <c r="B150" t="s">
        <v>205</v>
      </c>
      <c r="C150" s="29" t="s">
        <v>2251</v>
      </c>
      <c r="D150" t="s">
        <v>69</v>
      </c>
      <c r="E150">
        <v>48</v>
      </c>
      <c r="F150">
        <v>63</v>
      </c>
      <c r="G150">
        <v>58</v>
      </c>
      <c r="H150">
        <v>48</v>
      </c>
      <c r="I150">
        <v>73</v>
      </c>
      <c r="J150">
        <v>0</v>
      </c>
      <c r="K150" s="1">
        <v>97</v>
      </c>
      <c r="L150">
        <v>82</v>
      </c>
      <c r="M150">
        <v>62</v>
      </c>
      <c r="N150">
        <v>32</v>
      </c>
      <c r="O150">
        <v>2</v>
      </c>
      <c r="P150">
        <v>10</v>
      </c>
      <c r="Q150">
        <v>4</v>
      </c>
      <c r="R150" s="18">
        <f t="shared" si="2"/>
        <v>8</v>
      </c>
      <c r="S150">
        <v>2</v>
      </c>
      <c r="T150">
        <v>2</v>
      </c>
      <c r="U150">
        <v>2</v>
      </c>
      <c r="V150">
        <v>2</v>
      </c>
      <c r="W150">
        <v>35</v>
      </c>
      <c r="X150">
        <v>70</v>
      </c>
      <c r="Y150">
        <v>1.28</v>
      </c>
      <c r="Z150">
        <v>2.4</v>
      </c>
      <c r="AA150">
        <v>112391</v>
      </c>
    </row>
    <row r="151" spans="1:29" x14ac:dyDescent="0.2">
      <c r="A151" s="3">
        <v>11240</v>
      </c>
      <c r="B151" t="s">
        <v>205</v>
      </c>
      <c r="C151" t="s">
        <v>1933</v>
      </c>
      <c r="D151" s="3" t="s">
        <v>67</v>
      </c>
      <c r="E151" s="6">
        <v>58</v>
      </c>
      <c r="F151" s="6">
        <v>73</v>
      </c>
      <c r="G151" s="6">
        <v>0</v>
      </c>
      <c r="H151" s="6">
        <v>56</v>
      </c>
      <c r="I151" s="6">
        <v>83</v>
      </c>
      <c r="J151" s="6">
        <v>0</v>
      </c>
      <c r="K151" s="6">
        <v>98</v>
      </c>
      <c r="L151" s="6">
        <v>83</v>
      </c>
      <c r="M151" s="6">
        <v>58</v>
      </c>
      <c r="N151" s="6">
        <v>32.700000000000003</v>
      </c>
      <c r="O151" s="6">
        <v>2</v>
      </c>
      <c r="P151" s="6">
        <v>20</v>
      </c>
      <c r="Q151" s="6">
        <v>4</v>
      </c>
      <c r="R151">
        <f t="shared" si="2"/>
        <v>8</v>
      </c>
      <c r="S151" s="6">
        <v>2</v>
      </c>
      <c r="T151" s="6">
        <v>2</v>
      </c>
      <c r="U151" s="6">
        <v>2</v>
      </c>
      <c r="V151" s="6">
        <v>2</v>
      </c>
      <c r="W151" s="6">
        <v>40</v>
      </c>
      <c r="X151" s="6">
        <v>70</v>
      </c>
      <c r="Y151" s="6">
        <v>1.28</v>
      </c>
      <c r="Z151" s="6">
        <v>2.4</v>
      </c>
      <c r="AA151" s="6">
        <v>112401</v>
      </c>
      <c r="AB151" s="6"/>
    </row>
    <row r="152" spans="1:29" x14ac:dyDescent="0.2">
      <c r="A152" s="3">
        <v>11241</v>
      </c>
      <c r="B152" t="s">
        <v>205</v>
      </c>
      <c r="C152" t="s">
        <v>1882</v>
      </c>
      <c r="D152" s="3" t="s">
        <v>67</v>
      </c>
      <c r="E152" s="6">
        <v>62</v>
      </c>
      <c r="F152" s="6">
        <v>78</v>
      </c>
      <c r="G152" s="6">
        <v>0</v>
      </c>
      <c r="H152" s="6">
        <v>60</v>
      </c>
      <c r="I152" s="6">
        <v>101</v>
      </c>
      <c r="J152" s="6">
        <v>0</v>
      </c>
      <c r="K152" s="6">
        <v>99</v>
      </c>
      <c r="L152" s="6">
        <v>83</v>
      </c>
      <c r="M152" s="6">
        <v>58</v>
      </c>
      <c r="N152" s="6">
        <v>33</v>
      </c>
      <c r="O152" s="6">
        <v>2</v>
      </c>
      <c r="P152" s="6">
        <v>18</v>
      </c>
      <c r="Q152" s="6">
        <v>4</v>
      </c>
      <c r="R152">
        <f t="shared" si="2"/>
        <v>8</v>
      </c>
      <c r="S152" s="6">
        <v>2</v>
      </c>
      <c r="T152" s="6">
        <v>2</v>
      </c>
      <c r="U152" s="6">
        <v>2</v>
      </c>
      <c r="V152" s="6">
        <v>2</v>
      </c>
      <c r="W152" s="6">
        <v>45</v>
      </c>
      <c r="X152" s="6">
        <v>75</v>
      </c>
      <c r="Y152" s="6">
        <v>1.28</v>
      </c>
      <c r="Z152" s="6">
        <v>2.4</v>
      </c>
      <c r="AA152" s="6">
        <v>112411</v>
      </c>
      <c r="AB152" s="6">
        <v>112412</v>
      </c>
    </row>
    <row r="153" spans="1:29" x14ac:dyDescent="0.2">
      <c r="A153" s="28">
        <v>11244</v>
      </c>
      <c r="B153" t="s">
        <v>203</v>
      </c>
      <c r="C153" t="s">
        <v>2570</v>
      </c>
      <c r="D153" t="s">
        <v>80</v>
      </c>
      <c r="E153">
        <v>32</v>
      </c>
      <c r="F153">
        <v>39</v>
      </c>
      <c r="G153">
        <v>77</v>
      </c>
      <c r="H153">
        <v>35</v>
      </c>
      <c r="I153">
        <v>69</v>
      </c>
      <c r="J153">
        <v>67</v>
      </c>
      <c r="K153" s="1">
        <v>95</v>
      </c>
      <c r="L153">
        <v>93</v>
      </c>
      <c r="M153">
        <v>26</v>
      </c>
      <c r="N153">
        <v>39</v>
      </c>
      <c r="O153">
        <v>1</v>
      </c>
      <c r="P153">
        <v>36</v>
      </c>
      <c r="Q153">
        <v>3</v>
      </c>
      <c r="R153" s="18">
        <f t="shared" si="2"/>
        <v>0</v>
      </c>
      <c r="S153">
        <v>0</v>
      </c>
      <c r="T153">
        <v>0</v>
      </c>
      <c r="U153">
        <v>0</v>
      </c>
      <c r="V153">
        <v>0</v>
      </c>
      <c r="W153">
        <v>10</v>
      </c>
      <c r="X153">
        <v>15</v>
      </c>
      <c r="Y153">
        <v>0.48</v>
      </c>
      <c r="Z153">
        <v>0.9</v>
      </c>
      <c r="AA153">
        <v>112441</v>
      </c>
    </row>
    <row r="154" spans="1:29" x14ac:dyDescent="0.2">
      <c r="A154" s="3">
        <v>11248</v>
      </c>
      <c r="B154" t="s">
        <v>1942</v>
      </c>
      <c r="C154" s="8" t="s">
        <v>1892</v>
      </c>
      <c r="D154" s="3" t="s">
        <v>3</v>
      </c>
      <c r="E154" s="6">
        <v>40</v>
      </c>
      <c r="F154" s="6">
        <v>52</v>
      </c>
      <c r="G154" s="6">
        <v>0</v>
      </c>
      <c r="H154" s="6">
        <v>54</v>
      </c>
      <c r="I154" s="6">
        <v>68</v>
      </c>
      <c r="J154" s="6">
        <v>52</v>
      </c>
      <c r="K154" s="6">
        <v>101</v>
      </c>
      <c r="L154" s="6">
        <v>81</v>
      </c>
      <c r="M154" s="6">
        <v>52</v>
      </c>
      <c r="N154" s="6">
        <v>34</v>
      </c>
      <c r="O154" s="6">
        <v>2</v>
      </c>
      <c r="P154" s="6">
        <v>17</v>
      </c>
      <c r="Q154" s="6">
        <v>4</v>
      </c>
      <c r="R154">
        <f t="shared" si="2"/>
        <v>18</v>
      </c>
      <c r="S154" s="6">
        <v>0</v>
      </c>
      <c r="T154" s="6">
        <v>0</v>
      </c>
      <c r="U154" s="6">
        <v>9</v>
      </c>
      <c r="V154" s="6">
        <v>9</v>
      </c>
      <c r="W154" s="6">
        <v>40</v>
      </c>
      <c r="X154" s="6">
        <v>70</v>
      </c>
      <c r="Y154" s="6">
        <v>1.3</v>
      </c>
      <c r="Z154" s="6">
        <v>2.2999999999999998</v>
      </c>
      <c r="AA154" s="6">
        <v>112481</v>
      </c>
      <c r="AB154" s="6"/>
    </row>
    <row r="155" spans="1:29" x14ac:dyDescent="0.2">
      <c r="A155" s="3">
        <v>11258</v>
      </c>
      <c r="B155" t="s">
        <v>203</v>
      </c>
      <c r="C155" t="s">
        <v>2571</v>
      </c>
      <c r="D155" t="s">
        <v>3</v>
      </c>
      <c r="E155">
        <v>32</v>
      </c>
      <c r="F155">
        <v>38</v>
      </c>
      <c r="G155">
        <v>97</v>
      </c>
      <c r="H155">
        <v>34</v>
      </c>
      <c r="I155">
        <v>50</v>
      </c>
      <c r="J155">
        <v>58</v>
      </c>
      <c r="K155" s="1">
        <v>92</v>
      </c>
      <c r="L155">
        <v>91</v>
      </c>
      <c r="M155">
        <v>40</v>
      </c>
      <c r="N155">
        <v>35</v>
      </c>
      <c r="O155">
        <v>1</v>
      </c>
      <c r="P155">
        <v>10</v>
      </c>
      <c r="Q155">
        <v>3</v>
      </c>
      <c r="R155" s="18">
        <f t="shared" si="2"/>
        <v>0</v>
      </c>
      <c r="S155">
        <v>0</v>
      </c>
      <c r="T155">
        <v>0</v>
      </c>
      <c r="U155">
        <v>0</v>
      </c>
      <c r="V155">
        <v>0</v>
      </c>
      <c r="W155">
        <v>15</v>
      </c>
      <c r="X155">
        <v>20</v>
      </c>
      <c r="Y155">
        <v>0.48</v>
      </c>
      <c r="Z155">
        <v>0.9</v>
      </c>
      <c r="AA155">
        <v>112581</v>
      </c>
    </row>
    <row r="156" spans="1:29" x14ac:dyDescent="0.2">
      <c r="A156" s="3">
        <v>11265</v>
      </c>
      <c r="B156" t="s">
        <v>203</v>
      </c>
      <c r="C156" t="s">
        <v>1987</v>
      </c>
      <c r="D156" s="3" t="s">
        <v>3</v>
      </c>
      <c r="E156" s="6">
        <v>31</v>
      </c>
      <c r="F156" s="6">
        <v>38</v>
      </c>
      <c r="G156" s="6">
        <v>97</v>
      </c>
      <c r="H156" s="6">
        <v>38</v>
      </c>
      <c r="I156" s="6">
        <v>48</v>
      </c>
      <c r="J156" s="6">
        <v>72</v>
      </c>
      <c r="K156" s="6">
        <v>94</v>
      </c>
      <c r="L156" s="6">
        <v>94</v>
      </c>
      <c r="M156" s="6">
        <v>39</v>
      </c>
      <c r="N156" s="6">
        <v>34</v>
      </c>
      <c r="O156" s="6">
        <v>1</v>
      </c>
      <c r="P156" s="6">
        <v>10</v>
      </c>
      <c r="Q156" s="6">
        <v>3</v>
      </c>
      <c r="R156">
        <f t="shared" si="2"/>
        <v>0</v>
      </c>
      <c r="S156" s="6">
        <v>0</v>
      </c>
      <c r="T156" s="6">
        <v>0</v>
      </c>
      <c r="U156" s="6">
        <v>0</v>
      </c>
      <c r="V156" s="6">
        <v>0</v>
      </c>
      <c r="W156" s="6">
        <v>15</v>
      </c>
      <c r="X156" s="6">
        <v>20</v>
      </c>
      <c r="Y156" s="6">
        <v>0.48</v>
      </c>
      <c r="Z156" s="6">
        <v>0.9</v>
      </c>
      <c r="AA156" s="6">
        <v>112651</v>
      </c>
      <c r="AB156" s="6"/>
    </row>
    <row r="157" spans="1:29" x14ac:dyDescent="0.2">
      <c r="A157" s="3">
        <v>11269</v>
      </c>
      <c r="B157" t="s">
        <v>203</v>
      </c>
      <c r="C157" t="s">
        <v>1988</v>
      </c>
      <c r="D157" s="3" t="s">
        <v>68</v>
      </c>
      <c r="E157" s="6">
        <v>39</v>
      </c>
      <c r="F157" s="6">
        <v>38</v>
      </c>
      <c r="G157" s="6">
        <v>80</v>
      </c>
      <c r="H157" s="6">
        <v>40</v>
      </c>
      <c r="I157" s="6">
        <v>48</v>
      </c>
      <c r="J157" s="6">
        <v>66</v>
      </c>
      <c r="K157" s="6">
        <v>92</v>
      </c>
      <c r="L157" s="6">
        <v>92</v>
      </c>
      <c r="M157" s="6">
        <v>35</v>
      </c>
      <c r="N157" s="6">
        <v>38.5</v>
      </c>
      <c r="O157" s="6">
        <v>1</v>
      </c>
      <c r="P157" s="6">
        <v>10</v>
      </c>
      <c r="Q157" s="6">
        <v>3</v>
      </c>
      <c r="R157">
        <f t="shared" si="2"/>
        <v>0</v>
      </c>
      <c r="S157" s="6">
        <v>0</v>
      </c>
      <c r="T157" s="6">
        <v>0</v>
      </c>
      <c r="U157" s="6">
        <v>0</v>
      </c>
      <c r="V157" s="6">
        <v>0</v>
      </c>
      <c r="W157" s="6">
        <v>10</v>
      </c>
      <c r="X157" s="6">
        <v>20</v>
      </c>
      <c r="Y157" s="6">
        <v>0.48</v>
      </c>
      <c r="Z157" s="6">
        <v>0.99</v>
      </c>
      <c r="AA157" s="6">
        <v>112691</v>
      </c>
      <c r="AB157" s="6"/>
      <c r="AC157" s="3" t="s">
        <v>2082</v>
      </c>
    </row>
    <row r="158" spans="1:29" x14ac:dyDescent="0.2">
      <c r="A158" s="3">
        <v>11270</v>
      </c>
      <c r="B158" t="s">
        <v>203</v>
      </c>
      <c r="C158" t="s">
        <v>1989</v>
      </c>
      <c r="D158" s="3" t="s">
        <v>68</v>
      </c>
      <c r="E158" s="6">
        <v>39</v>
      </c>
      <c r="F158" s="6">
        <v>38</v>
      </c>
      <c r="G158" s="6">
        <v>80</v>
      </c>
      <c r="H158" s="6">
        <v>40</v>
      </c>
      <c r="I158" s="6">
        <v>48</v>
      </c>
      <c r="J158" s="6">
        <v>66</v>
      </c>
      <c r="K158" s="6">
        <v>92</v>
      </c>
      <c r="L158" s="6">
        <v>92</v>
      </c>
      <c r="M158" s="6">
        <v>37</v>
      </c>
      <c r="N158" s="6">
        <v>38.5</v>
      </c>
      <c r="O158" s="6">
        <v>1</v>
      </c>
      <c r="P158" s="6">
        <v>10</v>
      </c>
      <c r="Q158" s="6">
        <v>3</v>
      </c>
      <c r="R158">
        <f t="shared" si="2"/>
        <v>0</v>
      </c>
      <c r="S158" s="6">
        <v>0</v>
      </c>
      <c r="T158" s="6">
        <v>0</v>
      </c>
      <c r="U158" s="6">
        <v>0</v>
      </c>
      <c r="V158" s="6">
        <v>0</v>
      </c>
      <c r="W158" s="6">
        <v>10</v>
      </c>
      <c r="X158" s="6">
        <v>20</v>
      </c>
      <c r="Y158" s="6">
        <v>0.48</v>
      </c>
      <c r="Z158" s="6">
        <v>0.99</v>
      </c>
      <c r="AA158" s="6">
        <v>112701</v>
      </c>
      <c r="AB158" s="6"/>
      <c r="AC158" s="3" t="s">
        <v>2082</v>
      </c>
    </row>
    <row r="159" spans="1:29" x14ac:dyDescent="0.2">
      <c r="A159" s="28">
        <v>11273</v>
      </c>
      <c r="B159" t="s">
        <v>203</v>
      </c>
      <c r="C159" t="s">
        <v>2572</v>
      </c>
      <c r="D159" t="s">
        <v>67</v>
      </c>
      <c r="E159">
        <v>33</v>
      </c>
      <c r="F159">
        <v>46</v>
      </c>
      <c r="G159">
        <v>85</v>
      </c>
      <c r="H159">
        <v>40</v>
      </c>
      <c r="I159">
        <v>72</v>
      </c>
      <c r="J159">
        <v>88</v>
      </c>
      <c r="K159" s="1">
        <v>93</v>
      </c>
      <c r="L159">
        <v>91</v>
      </c>
      <c r="M159">
        <v>37</v>
      </c>
      <c r="N159">
        <v>38.5</v>
      </c>
      <c r="O159">
        <v>1</v>
      </c>
      <c r="P159">
        <v>16</v>
      </c>
      <c r="Q159">
        <v>3</v>
      </c>
      <c r="R159" s="18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25</v>
      </c>
      <c r="Y159">
        <v>0.48</v>
      </c>
      <c r="Z159">
        <v>0.9</v>
      </c>
      <c r="AA159">
        <v>112731</v>
      </c>
    </row>
    <row r="160" spans="1:29" x14ac:dyDescent="0.2">
      <c r="A160" s="3">
        <v>11275</v>
      </c>
      <c r="B160" t="s">
        <v>203</v>
      </c>
      <c r="C160" t="s">
        <v>2288</v>
      </c>
      <c r="D160" t="s">
        <v>67</v>
      </c>
      <c r="E160">
        <v>32</v>
      </c>
      <c r="F160">
        <v>41</v>
      </c>
      <c r="G160">
        <v>83</v>
      </c>
      <c r="H160">
        <v>39</v>
      </c>
      <c r="I160">
        <v>79</v>
      </c>
      <c r="J160">
        <v>84</v>
      </c>
      <c r="K160" s="1">
        <v>94</v>
      </c>
      <c r="L160">
        <v>91</v>
      </c>
      <c r="M160">
        <v>37</v>
      </c>
      <c r="N160">
        <v>37</v>
      </c>
      <c r="O160">
        <v>1</v>
      </c>
      <c r="P160">
        <v>20</v>
      </c>
      <c r="Q160">
        <v>3</v>
      </c>
      <c r="R160" s="18">
        <f t="shared" si="2"/>
        <v>0</v>
      </c>
      <c r="S160">
        <v>0</v>
      </c>
      <c r="T160">
        <v>0</v>
      </c>
      <c r="U160">
        <v>0</v>
      </c>
      <c r="V160">
        <v>0</v>
      </c>
      <c r="W160">
        <v>15</v>
      </c>
      <c r="X160">
        <v>25</v>
      </c>
      <c r="Y160">
        <v>0.48</v>
      </c>
      <c r="Z160">
        <v>0.9</v>
      </c>
      <c r="AA160">
        <v>112751</v>
      </c>
      <c r="AC160" s="3" t="s">
        <v>2289</v>
      </c>
    </row>
    <row r="161" spans="1:29" x14ac:dyDescent="0.2">
      <c r="A161" s="28">
        <v>11277</v>
      </c>
      <c r="B161" t="s">
        <v>203</v>
      </c>
      <c r="C161" t="s">
        <v>2573</v>
      </c>
      <c r="D161" t="s">
        <v>67</v>
      </c>
      <c r="E161">
        <v>32</v>
      </c>
      <c r="F161">
        <v>41</v>
      </c>
      <c r="G161">
        <v>83</v>
      </c>
      <c r="H161">
        <v>39</v>
      </c>
      <c r="I161">
        <v>80</v>
      </c>
      <c r="J161">
        <v>84</v>
      </c>
      <c r="K161" s="1">
        <v>94</v>
      </c>
      <c r="L161">
        <v>91</v>
      </c>
      <c r="M161">
        <v>47</v>
      </c>
      <c r="N161">
        <v>37</v>
      </c>
      <c r="O161">
        <v>1</v>
      </c>
      <c r="P161">
        <v>20</v>
      </c>
      <c r="Q161">
        <v>3</v>
      </c>
      <c r="R161" s="18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15</v>
      </c>
      <c r="X161">
        <v>25</v>
      </c>
      <c r="Y161">
        <v>0.48</v>
      </c>
      <c r="Z161">
        <v>0.9</v>
      </c>
      <c r="AA161">
        <v>112751</v>
      </c>
      <c r="AC161" s="3" t="s">
        <v>2289</v>
      </c>
    </row>
    <row r="162" spans="1:29" x14ac:dyDescent="0.2">
      <c r="A162" s="3">
        <v>11278</v>
      </c>
      <c r="B162" t="s">
        <v>203</v>
      </c>
      <c r="C162" t="s">
        <v>1990</v>
      </c>
      <c r="D162" s="3" t="s">
        <v>67</v>
      </c>
      <c r="E162" s="6">
        <v>32</v>
      </c>
      <c r="F162" s="6">
        <v>43</v>
      </c>
      <c r="G162" s="6">
        <v>87</v>
      </c>
      <c r="H162" s="6">
        <v>39</v>
      </c>
      <c r="I162" s="6">
        <v>70</v>
      </c>
      <c r="J162" s="6">
        <v>84</v>
      </c>
      <c r="K162" s="6">
        <v>94</v>
      </c>
      <c r="L162" s="6">
        <v>91</v>
      </c>
      <c r="M162" s="6">
        <v>37</v>
      </c>
      <c r="N162" s="6">
        <v>37</v>
      </c>
      <c r="O162" s="6">
        <v>1</v>
      </c>
      <c r="P162" s="6">
        <v>18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15</v>
      </c>
      <c r="X162" s="6">
        <v>25</v>
      </c>
      <c r="Y162" s="6">
        <v>0.48</v>
      </c>
      <c r="Z162" s="6">
        <v>0.9</v>
      </c>
      <c r="AA162" s="6">
        <v>112781</v>
      </c>
      <c r="AB162" s="6">
        <v>112782</v>
      </c>
    </row>
    <row r="163" spans="1:29" x14ac:dyDescent="0.2">
      <c r="A163" s="3">
        <v>11279</v>
      </c>
      <c r="B163" t="s">
        <v>203</v>
      </c>
      <c r="C163" t="s">
        <v>1991</v>
      </c>
      <c r="D163" s="3" t="s">
        <v>67</v>
      </c>
      <c r="E163" s="6">
        <v>28</v>
      </c>
      <c r="F163" s="6">
        <v>42</v>
      </c>
      <c r="G163" s="6">
        <v>83</v>
      </c>
      <c r="H163" s="6">
        <v>37</v>
      </c>
      <c r="I163" s="6">
        <v>65</v>
      </c>
      <c r="J163" s="6">
        <v>84</v>
      </c>
      <c r="K163" s="6">
        <v>94</v>
      </c>
      <c r="L163" s="6">
        <v>88</v>
      </c>
      <c r="M163" s="6">
        <v>36</v>
      </c>
      <c r="N163" s="6">
        <v>28.7</v>
      </c>
      <c r="O163" s="6">
        <v>1</v>
      </c>
      <c r="P163" s="6">
        <v>18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15</v>
      </c>
      <c r="X163" s="6">
        <v>25</v>
      </c>
      <c r="Y163" s="6">
        <v>0.45</v>
      </c>
      <c r="Z163" s="6">
        <v>0.8</v>
      </c>
      <c r="AA163" s="6">
        <v>112791</v>
      </c>
      <c r="AB163" s="6">
        <v>112782</v>
      </c>
    </row>
    <row r="164" spans="1:29" x14ac:dyDescent="0.2">
      <c r="A164" s="3">
        <v>11280</v>
      </c>
      <c r="B164" t="s">
        <v>203</v>
      </c>
      <c r="C164" t="s">
        <v>1992</v>
      </c>
      <c r="D164" s="3" t="s">
        <v>67</v>
      </c>
      <c r="E164" s="6">
        <v>32</v>
      </c>
      <c r="F164" s="6">
        <v>45</v>
      </c>
      <c r="G164" s="6">
        <v>90</v>
      </c>
      <c r="H164" s="6">
        <v>41</v>
      </c>
      <c r="I164" s="6">
        <v>72</v>
      </c>
      <c r="J164" s="6">
        <v>84</v>
      </c>
      <c r="K164" s="6">
        <v>94</v>
      </c>
      <c r="L164" s="6">
        <v>91</v>
      </c>
      <c r="M164" s="6">
        <v>37</v>
      </c>
      <c r="N164" s="6">
        <v>37</v>
      </c>
      <c r="O164" s="6">
        <v>1</v>
      </c>
      <c r="P164" s="6">
        <v>18</v>
      </c>
      <c r="Q164" s="6">
        <v>3</v>
      </c>
      <c r="R164">
        <f t="shared" si="2"/>
        <v>0</v>
      </c>
      <c r="S164" s="6">
        <v>0</v>
      </c>
      <c r="T164" s="6">
        <v>0</v>
      </c>
      <c r="U164" s="6">
        <v>0</v>
      </c>
      <c r="V164" s="6">
        <v>0</v>
      </c>
      <c r="W164" s="6">
        <v>15</v>
      </c>
      <c r="X164" s="6">
        <v>25</v>
      </c>
      <c r="Y164" s="6">
        <v>0.48</v>
      </c>
      <c r="Z164" s="6">
        <v>0.9</v>
      </c>
      <c r="AA164" s="6">
        <v>112801</v>
      </c>
      <c r="AB164" s="6">
        <v>112782</v>
      </c>
    </row>
    <row r="165" spans="1:29" x14ac:dyDescent="0.2">
      <c r="A165" s="15">
        <v>11289</v>
      </c>
      <c r="B165" t="s">
        <v>208</v>
      </c>
      <c r="C165" s="16" t="s">
        <v>2058</v>
      </c>
      <c r="D165" s="5" t="s">
        <v>68</v>
      </c>
      <c r="E165" s="17">
        <v>15</v>
      </c>
      <c r="F165" s="17">
        <v>25</v>
      </c>
      <c r="G165" s="17">
        <v>78</v>
      </c>
      <c r="H165" s="17">
        <v>30</v>
      </c>
      <c r="I165" s="17">
        <v>0</v>
      </c>
      <c r="J165" s="18">
        <v>0</v>
      </c>
      <c r="K165" s="18">
        <v>102</v>
      </c>
      <c r="L165" s="18">
        <v>45</v>
      </c>
      <c r="M165" s="18">
        <v>49</v>
      </c>
      <c r="N165" s="17">
        <v>18</v>
      </c>
      <c r="O165" s="18">
        <v>1</v>
      </c>
      <c r="P165" s="17">
        <v>18</v>
      </c>
      <c r="Q165" s="18">
        <v>3</v>
      </c>
      <c r="R165">
        <f t="shared" si="2"/>
        <v>0</v>
      </c>
      <c r="S165" s="18">
        <v>0</v>
      </c>
      <c r="T165" s="18">
        <v>0</v>
      </c>
      <c r="U165" s="18">
        <v>0</v>
      </c>
      <c r="V165" s="18">
        <v>0</v>
      </c>
      <c r="W165" s="18">
        <v>15</v>
      </c>
      <c r="X165" s="18">
        <v>20</v>
      </c>
      <c r="Y165" s="18">
        <v>0.6</v>
      </c>
      <c r="Z165" s="18">
        <v>0.5</v>
      </c>
      <c r="AA165">
        <v>112891</v>
      </c>
      <c r="AC165" s="3" t="s">
        <v>2057</v>
      </c>
    </row>
    <row r="166" spans="1:29" x14ac:dyDescent="0.2">
      <c r="A166" s="3">
        <v>11290</v>
      </c>
      <c r="B166" t="s">
        <v>208</v>
      </c>
      <c r="C166" s="16" t="s">
        <v>2059</v>
      </c>
      <c r="D166" s="5" t="s">
        <v>68</v>
      </c>
      <c r="E166" s="18">
        <v>15</v>
      </c>
      <c r="F166" s="18">
        <v>23</v>
      </c>
      <c r="G166" s="18">
        <v>80</v>
      </c>
      <c r="H166" s="18">
        <v>30</v>
      </c>
      <c r="I166" s="18">
        <v>0</v>
      </c>
      <c r="J166" s="18">
        <v>0</v>
      </c>
      <c r="K166" s="19">
        <v>102</v>
      </c>
      <c r="L166" s="18">
        <v>47</v>
      </c>
      <c r="M166" s="18">
        <v>48</v>
      </c>
      <c r="N166" s="18">
        <v>18</v>
      </c>
      <c r="O166" s="18">
        <v>1</v>
      </c>
      <c r="P166" s="18">
        <v>19</v>
      </c>
      <c r="Q166" s="18">
        <v>3</v>
      </c>
      <c r="R166">
        <f t="shared" si="2"/>
        <v>0</v>
      </c>
      <c r="S166" s="18">
        <v>0</v>
      </c>
      <c r="T166" s="18">
        <v>0</v>
      </c>
      <c r="U166" s="18">
        <v>0</v>
      </c>
      <c r="V166" s="18">
        <v>0</v>
      </c>
      <c r="W166" s="18">
        <v>15</v>
      </c>
      <c r="X166" s="18">
        <v>20</v>
      </c>
      <c r="Y166" s="18">
        <v>0.6</v>
      </c>
      <c r="Z166" s="18">
        <v>0.5</v>
      </c>
      <c r="AA166">
        <v>112901</v>
      </c>
      <c r="AC166" s="3" t="s">
        <v>2057</v>
      </c>
    </row>
    <row r="167" spans="1:29" x14ac:dyDescent="0.2">
      <c r="A167" s="3">
        <v>11291</v>
      </c>
      <c r="B167" t="s">
        <v>208</v>
      </c>
      <c r="C167" t="s">
        <v>2574</v>
      </c>
      <c r="D167" t="s">
        <v>68</v>
      </c>
      <c r="E167">
        <v>24</v>
      </c>
      <c r="F167">
        <v>26</v>
      </c>
      <c r="G167">
        <v>78</v>
      </c>
      <c r="H167">
        <v>27</v>
      </c>
      <c r="I167">
        <v>0</v>
      </c>
      <c r="J167">
        <v>0</v>
      </c>
      <c r="K167" s="1">
        <v>103</v>
      </c>
      <c r="L167">
        <v>59</v>
      </c>
      <c r="M167">
        <v>48</v>
      </c>
      <c r="N167">
        <v>18</v>
      </c>
      <c r="O167">
        <v>1</v>
      </c>
      <c r="P167">
        <v>25</v>
      </c>
      <c r="Q167">
        <v>3</v>
      </c>
      <c r="R167" s="18">
        <f t="shared" si="2"/>
        <v>0</v>
      </c>
      <c r="S167">
        <v>0</v>
      </c>
      <c r="T167">
        <v>0</v>
      </c>
      <c r="U167">
        <v>0</v>
      </c>
      <c r="V167">
        <v>0</v>
      </c>
      <c r="W167">
        <v>15</v>
      </c>
      <c r="X167">
        <v>20</v>
      </c>
      <c r="Y167">
        <v>0.6</v>
      </c>
      <c r="Z167">
        <v>0.5</v>
      </c>
      <c r="AA167">
        <v>112911</v>
      </c>
      <c r="AC167" s="3" t="s">
        <v>2057</v>
      </c>
    </row>
    <row r="168" spans="1:29" x14ac:dyDescent="0.2">
      <c r="A168" s="3">
        <v>11293</v>
      </c>
      <c r="B168" t="s">
        <v>208</v>
      </c>
      <c r="C168" s="16" t="s">
        <v>2060</v>
      </c>
      <c r="D168" s="5" t="s">
        <v>68</v>
      </c>
      <c r="E168" s="18">
        <v>15</v>
      </c>
      <c r="F168" s="18">
        <v>25</v>
      </c>
      <c r="G168" s="18">
        <v>77</v>
      </c>
      <c r="H168" s="18">
        <v>30</v>
      </c>
      <c r="I168" s="18">
        <v>0</v>
      </c>
      <c r="J168" s="18">
        <v>0</v>
      </c>
      <c r="K168" s="19">
        <v>101</v>
      </c>
      <c r="L168" s="18">
        <v>45</v>
      </c>
      <c r="M168" s="18">
        <v>49</v>
      </c>
      <c r="N168" s="18">
        <v>18</v>
      </c>
      <c r="O168" s="18">
        <v>1</v>
      </c>
      <c r="P168" s="18">
        <v>8</v>
      </c>
      <c r="Q168" s="18">
        <v>3</v>
      </c>
      <c r="R168">
        <f t="shared" si="2"/>
        <v>0</v>
      </c>
      <c r="S168" s="18">
        <v>0</v>
      </c>
      <c r="T168" s="18">
        <v>0</v>
      </c>
      <c r="U168" s="18">
        <v>0</v>
      </c>
      <c r="V168" s="18">
        <v>0</v>
      </c>
      <c r="W168" s="18">
        <v>15</v>
      </c>
      <c r="X168" s="18">
        <v>20</v>
      </c>
      <c r="Y168" s="18">
        <v>0.6</v>
      </c>
      <c r="Z168" s="18">
        <v>0.5</v>
      </c>
      <c r="AA168">
        <v>112931</v>
      </c>
      <c r="AC168" s="3" t="s">
        <v>2057</v>
      </c>
    </row>
    <row r="169" spans="1:29" x14ac:dyDescent="0.2">
      <c r="A169" s="3">
        <v>11299</v>
      </c>
      <c r="B169" t="s">
        <v>2039</v>
      </c>
      <c r="C169" t="s">
        <v>2040</v>
      </c>
      <c r="D169" t="s">
        <v>2041</v>
      </c>
      <c r="E169">
        <v>88</v>
      </c>
      <c r="F169">
        <v>108</v>
      </c>
      <c r="G169">
        <v>0</v>
      </c>
      <c r="H169">
        <v>110</v>
      </c>
      <c r="I169">
        <v>115</v>
      </c>
      <c r="J169">
        <v>0</v>
      </c>
      <c r="K169" s="1">
        <v>102</v>
      </c>
      <c r="L169">
        <v>56</v>
      </c>
      <c r="M169">
        <v>47</v>
      </c>
      <c r="N169">
        <v>32</v>
      </c>
      <c r="O169">
        <v>3</v>
      </c>
      <c r="P169">
        <v>20</v>
      </c>
      <c r="Q169">
        <v>4</v>
      </c>
      <c r="R169">
        <f t="shared" si="2"/>
        <v>32</v>
      </c>
      <c r="S169">
        <v>8</v>
      </c>
      <c r="T169">
        <v>8</v>
      </c>
      <c r="U169">
        <v>8</v>
      </c>
      <c r="V169">
        <v>8</v>
      </c>
      <c r="W169">
        <v>110</v>
      </c>
      <c r="X169">
        <v>190</v>
      </c>
      <c r="Y169">
        <v>4.5</v>
      </c>
      <c r="Z169">
        <v>8.5</v>
      </c>
      <c r="AA169">
        <v>102991</v>
      </c>
      <c r="AB169" s="18">
        <v>112992</v>
      </c>
    </row>
    <row r="170" spans="1:29" x14ac:dyDescent="0.2">
      <c r="A170" s="3">
        <v>11301</v>
      </c>
      <c r="B170" t="s">
        <v>203</v>
      </c>
      <c r="C170" t="s">
        <v>1993</v>
      </c>
      <c r="D170" s="3" t="s">
        <v>67</v>
      </c>
      <c r="E170" s="6">
        <v>32</v>
      </c>
      <c r="F170" s="6">
        <v>40</v>
      </c>
      <c r="G170" s="6">
        <v>87</v>
      </c>
      <c r="H170" s="6">
        <v>39</v>
      </c>
      <c r="I170" s="6">
        <v>62</v>
      </c>
      <c r="J170" s="6">
        <v>79</v>
      </c>
      <c r="K170" s="6">
        <v>94</v>
      </c>
      <c r="L170" s="6">
        <v>90</v>
      </c>
      <c r="M170" s="6">
        <v>32</v>
      </c>
      <c r="N170" s="6">
        <v>37</v>
      </c>
      <c r="O170" s="6">
        <v>1</v>
      </c>
      <c r="P170" s="6">
        <v>10</v>
      </c>
      <c r="Q170" s="6">
        <v>3</v>
      </c>
      <c r="R170">
        <f t="shared" si="2"/>
        <v>0</v>
      </c>
      <c r="S170" s="6">
        <v>0</v>
      </c>
      <c r="T170" s="6">
        <v>0</v>
      </c>
      <c r="U170" s="6">
        <v>0</v>
      </c>
      <c r="V170" s="6">
        <v>0</v>
      </c>
      <c r="W170" s="6">
        <v>15</v>
      </c>
      <c r="X170" s="6">
        <v>25</v>
      </c>
      <c r="Y170" s="6">
        <v>0.48</v>
      </c>
      <c r="Z170" s="6">
        <v>0.9</v>
      </c>
      <c r="AA170" s="6">
        <v>113011</v>
      </c>
      <c r="AB170" s="6"/>
    </row>
    <row r="171" spans="1:29" x14ac:dyDescent="0.2">
      <c r="A171" s="3">
        <v>11306</v>
      </c>
      <c r="B171" t="s">
        <v>203</v>
      </c>
      <c r="C171" t="s">
        <v>1994</v>
      </c>
      <c r="D171" s="3" t="s">
        <v>69</v>
      </c>
      <c r="E171" s="6">
        <v>32</v>
      </c>
      <c r="F171" s="6">
        <v>43</v>
      </c>
      <c r="G171" s="6">
        <v>91</v>
      </c>
      <c r="H171" s="6">
        <v>41</v>
      </c>
      <c r="I171" s="6">
        <v>76</v>
      </c>
      <c r="J171" s="6">
        <v>72</v>
      </c>
      <c r="K171" s="6">
        <v>94</v>
      </c>
      <c r="L171" s="6">
        <v>90</v>
      </c>
      <c r="M171" s="6">
        <v>38</v>
      </c>
      <c r="N171" s="6">
        <v>35.799999999999997</v>
      </c>
      <c r="O171" s="6">
        <v>1</v>
      </c>
      <c r="P171" s="6">
        <v>16</v>
      </c>
      <c r="Q171" s="6">
        <v>3</v>
      </c>
      <c r="R171">
        <f t="shared" si="2"/>
        <v>0</v>
      </c>
      <c r="S171" s="6">
        <v>0</v>
      </c>
      <c r="T171" s="6">
        <v>0</v>
      </c>
      <c r="U171" s="6">
        <v>0</v>
      </c>
      <c r="V171" s="6">
        <v>0</v>
      </c>
      <c r="W171" s="6">
        <v>15</v>
      </c>
      <c r="X171" s="6">
        <v>25</v>
      </c>
      <c r="Y171" s="6">
        <v>0.5</v>
      </c>
      <c r="Z171" s="6">
        <v>0.95</v>
      </c>
      <c r="AA171" s="6">
        <v>113061</v>
      </c>
      <c r="AB171" s="6"/>
    </row>
    <row r="172" spans="1:29" x14ac:dyDescent="0.2">
      <c r="A172" s="3">
        <v>11311</v>
      </c>
      <c r="B172" t="s">
        <v>90</v>
      </c>
      <c r="C172" t="s">
        <v>2359</v>
      </c>
      <c r="D172" t="s">
        <v>67</v>
      </c>
      <c r="E172">
        <v>52</v>
      </c>
      <c r="F172">
        <v>30</v>
      </c>
      <c r="G172">
        <v>0</v>
      </c>
      <c r="H172">
        <v>37</v>
      </c>
      <c r="I172">
        <v>75</v>
      </c>
      <c r="J172">
        <v>0</v>
      </c>
      <c r="K172" s="1">
        <v>95</v>
      </c>
      <c r="L172">
        <v>46</v>
      </c>
      <c r="M172">
        <v>65</v>
      </c>
      <c r="N172">
        <v>20</v>
      </c>
      <c r="O172">
        <v>1</v>
      </c>
      <c r="P172">
        <v>21</v>
      </c>
      <c r="Q172">
        <v>3</v>
      </c>
      <c r="R172" s="18">
        <f t="shared" si="2"/>
        <v>34</v>
      </c>
      <c r="S172">
        <v>12</v>
      </c>
      <c r="T172">
        <v>12</v>
      </c>
      <c r="U172">
        <v>10</v>
      </c>
      <c r="V172">
        <v>0</v>
      </c>
      <c r="W172" s="6">
        <v>30</v>
      </c>
      <c r="X172" s="6">
        <v>35</v>
      </c>
      <c r="Y172" s="6">
        <v>1.1200000000000001</v>
      </c>
      <c r="Z172" s="6">
        <v>2.1</v>
      </c>
      <c r="AA172" s="6">
        <v>113111</v>
      </c>
    </row>
    <row r="173" spans="1:29" x14ac:dyDescent="0.2">
      <c r="A173" s="3">
        <v>11316</v>
      </c>
      <c r="B173" t="s">
        <v>203</v>
      </c>
      <c r="C173" t="s">
        <v>1995</v>
      </c>
      <c r="D173" s="3" t="s">
        <v>80</v>
      </c>
      <c r="E173" s="6">
        <v>32</v>
      </c>
      <c r="F173" s="6">
        <v>40</v>
      </c>
      <c r="G173" s="6">
        <v>82</v>
      </c>
      <c r="H173" s="6">
        <v>35</v>
      </c>
      <c r="I173" s="6">
        <v>62</v>
      </c>
      <c r="J173" s="6">
        <v>73</v>
      </c>
      <c r="K173" s="6">
        <v>94</v>
      </c>
      <c r="L173" s="6">
        <v>94</v>
      </c>
      <c r="M173" s="6">
        <v>26</v>
      </c>
      <c r="N173" s="6">
        <v>41.7</v>
      </c>
      <c r="O173" s="6">
        <v>1</v>
      </c>
      <c r="P173" s="6">
        <v>25</v>
      </c>
      <c r="Q173" s="6">
        <v>3</v>
      </c>
      <c r="R173">
        <f t="shared" si="2"/>
        <v>0</v>
      </c>
      <c r="S173" s="6">
        <v>0</v>
      </c>
      <c r="T173" s="6">
        <v>0</v>
      </c>
      <c r="U173" s="6">
        <v>0</v>
      </c>
      <c r="V173" s="6">
        <v>0</v>
      </c>
      <c r="W173" s="6">
        <v>15</v>
      </c>
      <c r="X173" s="6">
        <v>15</v>
      </c>
      <c r="Y173" s="6">
        <v>0.5</v>
      </c>
      <c r="Z173" s="6">
        <v>0.9</v>
      </c>
      <c r="AA173" s="6">
        <v>113161</v>
      </c>
      <c r="AB173" s="6"/>
    </row>
    <row r="174" spans="1:29" x14ac:dyDescent="0.2">
      <c r="A174" s="3">
        <v>11323</v>
      </c>
      <c r="B174" t="s">
        <v>203</v>
      </c>
      <c r="C174" t="s">
        <v>1996</v>
      </c>
      <c r="D174" s="3" t="s">
        <v>80</v>
      </c>
      <c r="E174" s="6">
        <v>39</v>
      </c>
      <c r="F174" s="6">
        <v>45</v>
      </c>
      <c r="G174" s="6">
        <v>87</v>
      </c>
      <c r="H174" s="6">
        <v>37</v>
      </c>
      <c r="I174" s="6">
        <v>69</v>
      </c>
      <c r="J174" s="6">
        <v>68</v>
      </c>
      <c r="K174" s="6">
        <v>95</v>
      </c>
      <c r="L174" s="6">
        <v>102</v>
      </c>
      <c r="M174" s="6">
        <v>26</v>
      </c>
      <c r="N174" s="6">
        <v>42.5</v>
      </c>
      <c r="O174" s="6">
        <v>1</v>
      </c>
      <c r="P174" s="6">
        <v>8</v>
      </c>
      <c r="Q174" s="6">
        <v>3</v>
      </c>
      <c r="R174">
        <f t="shared" si="2"/>
        <v>0</v>
      </c>
      <c r="S174" s="6">
        <v>0</v>
      </c>
      <c r="T174" s="6">
        <v>0</v>
      </c>
      <c r="U174" s="6">
        <v>0</v>
      </c>
      <c r="V174" s="6">
        <v>0</v>
      </c>
      <c r="W174" s="6">
        <v>20</v>
      </c>
      <c r="X174" s="6">
        <v>25</v>
      </c>
      <c r="Y174" s="6">
        <v>0.5</v>
      </c>
      <c r="Z174" s="6">
        <v>0.9</v>
      </c>
      <c r="AA174" s="6">
        <v>113231</v>
      </c>
      <c r="AB174" s="6"/>
    </row>
    <row r="175" spans="1:29" x14ac:dyDescent="0.2">
      <c r="A175" s="3">
        <v>11325</v>
      </c>
      <c r="B175" t="s">
        <v>21</v>
      </c>
      <c r="C175" s="8" t="s">
        <v>66</v>
      </c>
      <c r="D175" t="s">
        <v>67</v>
      </c>
      <c r="E175">
        <v>72</v>
      </c>
      <c r="F175">
        <v>45</v>
      </c>
      <c r="G175">
        <v>0</v>
      </c>
      <c r="H175">
        <v>64</v>
      </c>
      <c r="I175">
        <v>100</v>
      </c>
      <c r="J175">
        <v>0</v>
      </c>
      <c r="K175" s="1">
        <v>102</v>
      </c>
      <c r="L175">
        <v>60</v>
      </c>
      <c r="M175">
        <v>82</v>
      </c>
      <c r="N175">
        <v>33</v>
      </c>
      <c r="O175">
        <v>1</v>
      </c>
      <c r="P175">
        <v>28</v>
      </c>
      <c r="Q175">
        <v>4</v>
      </c>
      <c r="R175" s="18">
        <f t="shared" si="2"/>
        <v>96</v>
      </c>
      <c r="S175">
        <v>20</v>
      </c>
      <c r="T175">
        <v>20</v>
      </c>
      <c r="U175">
        <v>36</v>
      </c>
      <c r="V175">
        <v>20</v>
      </c>
      <c r="W175">
        <v>70</v>
      </c>
      <c r="X175">
        <v>75</v>
      </c>
      <c r="Y175">
        <v>2.4</v>
      </c>
      <c r="Z175">
        <v>4.5</v>
      </c>
      <c r="AA175">
        <v>103251</v>
      </c>
      <c r="AB175">
        <v>113252</v>
      </c>
      <c r="AC175" s="3" t="s">
        <v>74</v>
      </c>
    </row>
    <row r="176" spans="1:29" x14ac:dyDescent="0.2">
      <c r="A176" s="3">
        <v>11332</v>
      </c>
      <c r="B176" t="s">
        <v>90</v>
      </c>
      <c r="C176" t="s">
        <v>2544</v>
      </c>
      <c r="D176" t="s">
        <v>3</v>
      </c>
      <c r="E176">
        <v>55</v>
      </c>
      <c r="F176">
        <v>30</v>
      </c>
      <c r="G176">
        <v>0</v>
      </c>
      <c r="H176">
        <v>31</v>
      </c>
      <c r="I176">
        <v>60</v>
      </c>
      <c r="J176">
        <v>0</v>
      </c>
      <c r="K176" s="1">
        <v>96</v>
      </c>
      <c r="L176">
        <v>47</v>
      </c>
      <c r="M176">
        <v>63</v>
      </c>
      <c r="N176">
        <v>21</v>
      </c>
      <c r="O176">
        <v>1</v>
      </c>
      <c r="P176">
        <v>13</v>
      </c>
      <c r="Q176">
        <v>3</v>
      </c>
      <c r="R176" s="18">
        <f t="shared" si="2"/>
        <v>39</v>
      </c>
      <c r="S176">
        <v>17</v>
      </c>
      <c r="T176">
        <v>12</v>
      </c>
      <c r="U176">
        <v>10</v>
      </c>
      <c r="V176">
        <v>0</v>
      </c>
      <c r="W176">
        <v>35</v>
      </c>
      <c r="X176">
        <v>35</v>
      </c>
      <c r="Y176">
        <v>1.28</v>
      </c>
      <c r="Z176">
        <v>2.2999999999999998</v>
      </c>
      <c r="AA176">
        <v>113321</v>
      </c>
    </row>
    <row r="177" spans="1:29" x14ac:dyDescent="0.2">
      <c r="A177" s="3">
        <v>11335</v>
      </c>
      <c r="B177" t="s">
        <v>203</v>
      </c>
      <c r="C177" t="s">
        <v>1997</v>
      </c>
      <c r="D177" s="3" t="s">
        <v>70</v>
      </c>
      <c r="E177" s="6">
        <v>39</v>
      </c>
      <c r="F177" s="6">
        <v>50</v>
      </c>
      <c r="G177" s="6">
        <v>93</v>
      </c>
      <c r="H177" s="6">
        <v>40</v>
      </c>
      <c r="I177" s="6">
        <v>55</v>
      </c>
      <c r="J177" s="6">
        <v>74</v>
      </c>
      <c r="K177" s="6">
        <v>94</v>
      </c>
      <c r="L177" s="6">
        <v>102</v>
      </c>
      <c r="M177" s="6">
        <v>42</v>
      </c>
      <c r="N177" s="6">
        <v>41.6</v>
      </c>
      <c r="O177" s="6">
        <v>1</v>
      </c>
      <c r="P177" s="6">
        <v>10</v>
      </c>
      <c r="Q177" s="6">
        <v>3</v>
      </c>
      <c r="R177">
        <f t="shared" si="2"/>
        <v>0</v>
      </c>
      <c r="S177" s="6">
        <v>0</v>
      </c>
      <c r="T177" s="6">
        <v>0</v>
      </c>
      <c r="U177" s="6">
        <v>0</v>
      </c>
      <c r="V177" s="6">
        <v>0</v>
      </c>
      <c r="W177" s="6">
        <v>20</v>
      </c>
      <c r="X177" s="6">
        <v>25</v>
      </c>
      <c r="Y177" s="6">
        <v>0.6</v>
      </c>
      <c r="Z177" s="6">
        <v>1</v>
      </c>
      <c r="AA177" s="6">
        <v>113351</v>
      </c>
      <c r="AB177" s="6"/>
    </row>
    <row r="178" spans="1:29" x14ac:dyDescent="0.2">
      <c r="A178" s="3">
        <v>11339</v>
      </c>
      <c r="B178" t="s">
        <v>21</v>
      </c>
      <c r="C178" s="8" t="s">
        <v>58</v>
      </c>
      <c r="D178" t="s">
        <v>71</v>
      </c>
      <c r="E178">
        <v>80</v>
      </c>
      <c r="F178">
        <v>40</v>
      </c>
      <c r="G178">
        <v>0</v>
      </c>
      <c r="H178">
        <v>84</v>
      </c>
      <c r="I178">
        <v>73</v>
      </c>
      <c r="J178">
        <v>0</v>
      </c>
      <c r="K178">
        <v>102</v>
      </c>
      <c r="L178">
        <v>58</v>
      </c>
      <c r="M178">
        <v>72</v>
      </c>
      <c r="N178">
        <v>30</v>
      </c>
      <c r="O178">
        <v>1</v>
      </c>
      <c r="P178">
        <v>9</v>
      </c>
      <c r="Q178">
        <v>4</v>
      </c>
      <c r="R178">
        <f t="shared" si="2"/>
        <v>82</v>
      </c>
      <c r="S178">
        <v>16</v>
      </c>
      <c r="T178">
        <v>20</v>
      </c>
      <c r="U178">
        <v>30</v>
      </c>
      <c r="V178">
        <v>16</v>
      </c>
      <c r="W178" s="6">
        <v>70</v>
      </c>
      <c r="X178" s="6">
        <v>75</v>
      </c>
      <c r="Y178" s="6">
        <v>2.6</v>
      </c>
      <c r="Z178" s="6">
        <v>4.9000000000000004</v>
      </c>
      <c r="AA178">
        <v>113391</v>
      </c>
      <c r="AB178">
        <v>113392</v>
      </c>
      <c r="AC178" s="3" t="s">
        <v>2474</v>
      </c>
    </row>
    <row r="179" spans="1:29" x14ac:dyDescent="0.2">
      <c r="A179" s="3">
        <v>11340</v>
      </c>
      <c r="B179" t="s">
        <v>1942</v>
      </c>
      <c r="C179" t="s">
        <v>2473</v>
      </c>
      <c r="D179" t="s">
        <v>71</v>
      </c>
      <c r="E179">
        <v>52</v>
      </c>
      <c r="F179">
        <v>54</v>
      </c>
      <c r="G179">
        <v>0</v>
      </c>
      <c r="H179">
        <v>49</v>
      </c>
      <c r="I179">
        <v>75</v>
      </c>
      <c r="J179">
        <v>58</v>
      </c>
      <c r="K179" s="1">
        <v>100</v>
      </c>
      <c r="L179">
        <v>86</v>
      </c>
      <c r="M179">
        <v>56</v>
      </c>
      <c r="N179">
        <v>25</v>
      </c>
      <c r="O179">
        <v>2</v>
      </c>
      <c r="P179">
        <v>15</v>
      </c>
      <c r="Q179">
        <v>4</v>
      </c>
      <c r="R179" s="18">
        <f t="shared" si="2"/>
        <v>12</v>
      </c>
      <c r="S179">
        <v>0</v>
      </c>
      <c r="T179">
        <v>0</v>
      </c>
      <c r="U179">
        <v>0</v>
      </c>
      <c r="V179">
        <v>12</v>
      </c>
      <c r="W179">
        <v>40</v>
      </c>
      <c r="X179">
        <v>75</v>
      </c>
      <c r="Y179">
        <v>1.3</v>
      </c>
      <c r="Z179">
        <v>4.5999999999999996</v>
      </c>
      <c r="AA179">
        <v>113401</v>
      </c>
    </row>
    <row r="180" spans="1:29" x14ac:dyDescent="0.2">
      <c r="A180" s="3">
        <v>11342</v>
      </c>
      <c r="B180" t="s">
        <v>203</v>
      </c>
      <c r="C180" t="s">
        <v>1998</v>
      </c>
      <c r="D180" s="3" t="s">
        <v>67</v>
      </c>
      <c r="E180" s="6">
        <v>35</v>
      </c>
      <c r="F180" s="6">
        <v>45</v>
      </c>
      <c r="G180" s="6">
        <v>78</v>
      </c>
      <c r="H180" s="6">
        <v>40</v>
      </c>
      <c r="I180" s="6">
        <v>86</v>
      </c>
      <c r="J180" s="6">
        <v>125</v>
      </c>
      <c r="K180" s="6">
        <v>94</v>
      </c>
      <c r="L180" s="6">
        <v>86</v>
      </c>
      <c r="M180" s="6">
        <v>43</v>
      </c>
      <c r="N180" s="6">
        <v>35</v>
      </c>
      <c r="O180" s="6">
        <v>1</v>
      </c>
      <c r="P180" s="6">
        <v>22</v>
      </c>
      <c r="Q180" s="6">
        <v>3</v>
      </c>
      <c r="R180">
        <f t="shared" si="2"/>
        <v>0</v>
      </c>
      <c r="S180" s="6">
        <v>0</v>
      </c>
      <c r="T180" s="6">
        <v>0</v>
      </c>
      <c r="U180" s="6">
        <v>0</v>
      </c>
      <c r="V180" s="6">
        <v>0</v>
      </c>
      <c r="W180" s="6">
        <v>15</v>
      </c>
      <c r="X180" s="6">
        <v>25</v>
      </c>
      <c r="Y180" s="6">
        <v>0.48</v>
      </c>
      <c r="Z180" s="6">
        <v>0.9</v>
      </c>
      <c r="AA180" s="6">
        <v>113421</v>
      </c>
      <c r="AB180" s="6"/>
    </row>
    <row r="181" spans="1:29" x14ac:dyDescent="0.2">
      <c r="A181" s="3">
        <v>11344</v>
      </c>
      <c r="B181" t="s">
        <v>203</v>
      </c>
      <c r="C181" t="s">
        <v>1999</v>
      </c>
      <c r="D181" s="3" t="s">
        <v>67</v>
      </c>
      <c r="E181" s="6">
        <v>32</v>
      </c>
      <c r="F181" s="6">
        <v>43</v>
      </c>
      <c r="G181" s="6">
        <v>79</v>
      </c>
      <c r="H181" s="6">
        <v>39</v>
      </c>
      <c r="I181" s="6">
        <v>83</v>
      </c>
      <c r="J181" s="6">
        <v>115</v>
      </c>
      <c r="K181" s="6">
        <v>94</v>
      </c>
      <c r="L181" s="6">
        <v>91</v>
      </c>
      <c r="M181" s="6">
        <v>43</v>
      </c>
      <c r="N181" s="6">
        <v>37</v>
      </c>
      <c r="O181" s="6">
        <v>1</v>
      </c>
      <c r="P181" s="6">
        <v>21</v>
      </c>
      <c r="Q181" s="6">
        <v>3</v>
      </c>
      <c r="R181">
        <f t="shared" si="2"/>
        <v>0</v>
      </c>
      <c r="S181" s="6">
        <v>0</v>
      </c>
      <c r="T181" s="6">
        <v>0</v>
      </c>
      <c r="U181" s="6">
        <v>0</v>
      </c>
      <c r="V181" s="6">
        <v>0</v>
      </c>
      <c r="W181" s="6">
        <v>15</v>
      </c>
      <c r="X181" s="6">
        <v>25</v>
      </c>
      <c r="Y181" s="6">
        <v>0.48</v>
      </c>
      <c r="Z181" s="6">
        <v>0.9</v>
      </c>
      <c r="AA181" s="6">
        <v>113441</v>
      </c>
      <c r="AB181" s="6"/>
    </row>
    <row r="182" spans="1:29" x14ac:dyDescent="0.2">
      <c r="A182" s="15">
        <v>11351</v>
      </c>
      <c r="B182" t="s">
        <v>208</v>
      </c>
      <c r="C182" s="16" t="s">
        <v>2061</v>
      </c>
      <c r="D182" s="5" t="s">
        <v>68</v>
      </c>
      <c r="E182" s="17">
        <v>12</v>
      </c>
      <c r="F182" s="17">
        <v>22</v>
      </c>
      <c r="G182" s="17">
        <v>67</v>
      </c>
      <c r="H182" s="17">
        <v>25</v>
      </c>
      <c r="I182" s="17">
        <v>0</v>
      </c>
      <c r="J182" s="18">
        <v>0</v>
      </c>
      <c r="K182" s="18">
        <v>102</v>
      </c>
      <c r="L182" s="18">
        <v>68</v>
      </c>
      <c r="M182" s="18">
        <v>28</v>
      </c>
      <c r="N182" s="17">
        <v>25</v>
      </c>
      <c r="O182" s="18">
        <v>1</v>
      </c>
      <c r="P182" s="17">
        <v>10</v>
      </c>
      <c r="Q182" s="18">
        <v>3</v>
      </c>
      <c r="R182">
        <f t="shared" si="2"/>
        <v>0</v>
      </c>
      <c r="S182" s="18">
        <v>0</v>
      </c>
      <c r="T182" s="18">
        <v>0</v>
      </c>
      <c r="U182" s="18">
        <v>0</v>
      </c>
      <c r="V182" s="18">
        <v>0</v>
      </c>
      <c r="W182" s="18">
        <v>10</v>
      </c>
      <c r="X182" s="18">
        <v>15</v>
      </c>
      <c r="Y182" s="18">
        <v>0.5</v>
      </c>
      <c r="Z182" s="18">
        <v>0.5</v>
      </c>
      <c r="AA182" s="6">
        <v>113511</v>
      </c>
      <c r="AC182" s="3" t="s">
        <v>2057</v>
      </c>
    </row>
    <row r="183" spans="1:29" x14ac:dyDescent="0.2">
      <c r="A183" s="3">
        <v>11362</v>
      </c>
      <c r="B183" t="s">
        <v>209</v>
      </c>
      <c r="C183" s="8" t="s">
        <v>2018</v>
      </c>
      <c r="D183" s="3" t="s">
        <v>67</v>
      </c>
      <c r="E183" s="6">
        <v>84</v>
      </c>
      <c r="F183" s="6">
        <v>115</v>
      </c>
      <c r="G183" s="6">
        <v>0</v>
      </c>
      <c r="H183" s="6">
        <v>90</v>
      </c>
      <c r="I183" s="6">
        <v>95</v>
      </c>
      <c r="J183" s="6">
        <v>0</v>
      </c>
      <c r="K183" s="6">
        <v>101</v>
      </c>
      <c r="L183" s="6">
        <v>69</v>
      </c>
      <c r="M183" s="6">
        <v>45</v>
      </c>
      <c r="N183" s="6">
        <v>33</v>
      </c>
      <c r="O183" s="6">
        <v>3</v>
      </c>
      <c r="P183" s="6">
        <v>8</v>
      </c>
      <c r="Q183" s="6">
        <v>4</v>
      </c>
      <c r="R183">
        <f t="shared" si="2"/>
        <v>12</v>
      </c>
      <c r="S183" s="6">
        <v>3</v>
      </c>
      <c r="T183" s="6">
        <v>3</v>
      </c>
      <c r="U183" s="6">
        <v>3</v>
      </c>
      <c r="V183" s="6">
        <v>3</v>
      </c>
      <c r="W183" s="6">
        <v>90</v>
      </c>
      <c r="X183" s="6">
        <v>130</v>
      </c>
      <c r="Y183" s="6">
        <v>3.5</v>
      </c>
      <c r="Z183" s="6">
        <v>5.6</v>
      </c>
      <c r="AA183" s="6">
        <v>113621</v>
      </c>
      <c r="AB183" s="6">
        <v>113622</v>
      </c>
    </row>
    <row r="184" spans="1:29" x14ac:dyDescent="0.2">
      <c r="A184" s="29">
        <v>11366</v>
      </c>
      <c r="B184" t="s">
        <v>208</v>
      </c>
      <c r="C184" s="29" t="s">
        <v>2066</v>
      </c>
      <c r="D184" t="s">
        <v>67</v>
      </c>
      <c r="E184">
        <v>29</v>
      </c>
      <c r="F184">
        <v>32</v>
      </c>
      <c r="G184">
        <v>88</v>
      </c>
      <c r="H184">
        <v>35</v>
      </c>
      <c r="I184">
        <v>0</v>
      </c>
      <c r="J184">
        <v>0</v>
      </c>
      <c r="K184" s="1">
        <v>108</v>
      </c>
      <c r="L184">
        <v>45</v>
      </c>
      <c r="M184">
        <v>48</v>
      </c>
      <c r="N184">
        <v>17.399999999999999</v>
      </c>
      <c r="O184">
        <v>1</v>
      </c>
      <c r="P184">
        <v>25</v>
      </c>
      <c r="Q184">
        <v>3</v>
      </c>
      <c r="R184" s="18">
        <f t="shared" si="2"/>
        <v>0</v>
      </c>
      <c r="S184">
        <v>0</v>
      </c>
      <c r="T184">
        <v>0</v>
      </c>
      <c r="U184">
        <v>0</v>
      </c>
      <c r="V184">
        <v>0</v>
      </c>
      <c r="W184">
        <v>20</v>
      </c>
      <c r="X184">
        <v>25</v>
      </c>
      <c r="Y184">
        <v>0.75</v>
      </c>
      <c r="Z184">
        <v>0.8</v>
      </c>
      <c r="AA184" s="6">
        <v>103661</v>
      </c>
      <c r="AB184">
        <v>113662</v>
      </c>
    </row>
    <row r="185" spans="1:29" x14ac:dyDescent="0.2">
      <c r="A185" s="3">
        <v>11372</v>
      </c>
      <c r="B185" t="s">
        <v>203</v>
      </c>
      <c r="C185" t="s">
        <v>2000</v>
      </c>
      <c r="D185" s="3" t="s">
        <v>3</v>
      </c>
      <c r="E185" s="6">
        <v>36</v>
      </c>
      <c r="F185" s="6">
        <v>40</v>
      </c>
      <c r="G185" s="6">
        <v>93</v>
      </c>
      <c r="H185" s="6">
        <v>38</v>
      </c>
      <c r="I185" s="6">
        <v>75</v>
      </c>
      <c r="J185" s="6">
        <v>84</v>
      </c>
      <c r="K185" s="6">
        <v>94</v>
      </c>
      <c r="L185" s="6">
        <v>90</v>
      </c>
      <c r="M185" s="6">
        <v>21</v>
      </c>
      <c r="N185" s="6">
        <v>36.700000000000003</v>
      </c>
      <c r="O185" s="6">
        <v>1</v>
      </c>
      <c r="P185" s="6">
        <v>7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0.5</v>
      </c>
      <c r="Z185" s="6">
        <v>0.9</v>
      </c>
      <c r="AA185" s="6">
        <v>113721</v>
      </c>
      <c r="AB185" s="6"/>
    </row>
    <row r="186" spans="1:29" x14ac:dyDescent="0.2">
      <c r="A186" s="3">
        <v>11380</v>
      </c>
      <c r="B186" t="s">
        <v>206</v>
      </c>
      <c r="C186" s="8" t="s">
        <v>1872</v>
      </c>
      <c r="D186" s="3" t="s">
        <v>69</v>
      </c>
      <c r="E186" s="10">
        <v>92</v>
      </c>
      <c r="F186" s="10">
        <v>128</v>
      </c>
      <c r="G186" s="10">
        <v>0</v>
      </c>
      <c r="H186" s="10">
        <v>115</v>
      </c>
      <c r="I186" s="10">
        <v>80</v>
      </c>
      <c r="J186" s="6">
        <v>0</v>
      </c>
      <c r="K186" s="6">
        <v>102</v>
      </c>
      <c r="L186" s="6">
        <v>48</v>
      </c>
      <c r="M186" s="6">
        <v>45</v>
      </c>
      <c r="N186" s="10">
        <v>23</v>
      </c>
      <c r="O186" s="6">
        <v>3</v>
      </c>
      <c r="P186" s="10">
        <v>9</v>
      </c>
      <c r="Q186" s="6">
        <v>4</v>
      </c>
      <c r="R186">
        <f t="shared" si="2"/>
        <v>0</v>
      </c>
      <c r="S186" s="10">
        <v>0</v>
      </c>
      <c r="T186" s="10">
        <v>0</v>
      </c>
      <c r="U186" s="10">
        <v>0</v>
      </c>
      <c r="V186" s="10">
        <v>0</v>
      </c>
      <c r="W186" s="6">
        <v>130</v>
      </c>
      <c r="X186" s="6">
        <v>185</v>
      </c>
      <c r="Y186" s="6">
        <v>5</v>
      </c>
      <c r="Z186" s="6">
        <v>9</v>
      </c>
      <c r="AA186" s="6">
        <v>113801</v>
      </c>
      <c r="AB186" s="6">
        <v>113802</v>
      </c>
    </row>
    <row r="187" spans="1:29" x14ac:dyDescent="0.2">
      <c r="A187" s="29">
        <v>11400</v>
      </c>
      <c r="B187" t="s">
        <v>2250</v>
      </c>
      <c r="C187" s="29" t="s">
        <v>2725</v>
      </c>
      <c r="D187" t="s">
        <v>2726</v>
      </c>
      <c r="E187">
        <v>48</v>
      </c>
      <c r="F187">
        <v>50</v>
      </c>
      <c r="G187">
        <v>0</v>
      </c>
      <c r="H187">
        <v>58</v>
      </c>
      <c r="I187">
        <v>110</v>
      </c>
      <c r="J187">
        <v>0</v>
      </c>
      <c r="K187" s="1">
        <v>99</v>
      </c>
      <c r="L187">
        <v>83</v>
      </c>
      <c r="M187">
        <v>50</v>
      </c>
      <c r="N187">
        <v>32</v>
      </c>
      <c r="O187">
        <v>2</v>
      </c>
      <c r="P187">
        <v>30</v>
      </c>
      <c r="Q187">
        <v>4</v>
      </c>
      <c r="R187" s="18">
        <f t="shared" si="2"/>
        <v>40</v>
      </c>
      <c r="S187">
        <v>10</v>
      </c>
      <c r="T187">
        <v>10</v>
      </c>
      <c r="U187">
        <v>10</v>
      </c>
      <c r="V187">
        <v>10</v>
      </c>
      <c r="W187">
        <v>30</v>
      </c>
      <c r="X187">
        <v>75</v>
      </c>
      <c r="Y187">
        <v>1.1000000000000001</v>
      </c>
      <c r="Z187">
        <v>2</v>
      </c>
      <c r="AA187">
        <v>114001</v>
      </c>
    </row>
    <row r="188" spans="1:29" x14ac:dyDescent="0.2">
      <c r="A188" s="3">
        <v>11408</v>
      </c>
      <c r="B188" t="s">
        <v>208</v>
      </c>
      <c r="C188" s="16" t="s">
        <v>2062</v>
      </c>
      <c r="D188" s="5" t="s">
        <v>67</v>
      </c>
      <c r="E188" s="18">
        <v>17</v>
      </c>
      <c r="F188" s="18">
        <v>26</v>
      </c>
      <c r="G188" s="18">
        <v>89</v>
      </c>
      <c r="H188" s="18">
        <v>32</v>
      </c>
      <c r="I188" s="18">
        <v>0</v>
      </c>
      <c r="J188" s="18">
        <v>0</v>
      </c>
      <c r="K188" s="19">
        <v>100</v>
      </c>
      <c r="L188" s="18">
        <v>47</v>
      </c>
      <c r="M188" s="18">
        <v>47</v>
      </c>
      <c r="N188" s="18">
        <v>21</v>
      </c>
      <c r="O188" s="18">
        <v>1</v>
      </c>
      <c r="P188" s="18">
        <v>20</v>
      </c>
      <c r="Q188" s="18">
        <v>3</v>
      </c>
      <c r="R188">
        <f t="shared" si="2"/>
        <v>0</v>
      </c>
      <c r="S188" s="18">
        <v>0</v>
      </c>
      <c r="T188" s="18">
        <v>0</v>
      </c>
      <c r="U188" s="18">
        <v>0</v>
      </c>
      <c r="V188" s="18">
        <v>0</v>
      </c>
      <c r="W188" s="18">
        <v>20</v>
      </c>
      <c r="X188" s="18">
        <v>25</v>
      </c>
      <c r="Y188" s="18">
        <v>0.64</v>
      </c>
      <c r="Z188" s="18">
        <v>0.75</v>
      </c>
      <c r="AA188">
        <v>114081</v>
      </c>
    </row>
    <row r="189" spans="1:29" x14ac:dyDescent="0.2">
      <c r="A189" s="3">
        <v>11413</v>
      </c>
      <c r="B189" t="s">
        <v>2250</v>
      </c>
      <c r="C189" t="s">
        <v>2032</v>
      </c>
      <c r="D189" t="s">
        <v>2042</v>
      </c>
      <c r="E189">
        <v>52</v>
      </c>
      <c r="F189">
        <v>56</v>
      </c>
      <c r="G189">
        <v>0</v>
      </c>
      <c r="H189">
        <v>66</v>
      </c>
      <c r="I189">
        <v>100</v>
      </c>
      <c r="J189">
        <v>0</v>
      </c>
      <c r="K189">
        <v>97</v>
      </c>
      <c r="L189">
        <v>77</v>
      </c>
      <c r="M189">
        <v>47</v>
      </c>
      <c r="N189">
        <v>29</v>
      </c>
      <c r="O189">
        <v>2</v>
      </c>
      <c r="P189">
        <v>25</v>
      </c>
      <c r="Q189">
        <v>4</v>
      </c>
      <c r="R189">
        <f t="shared" si="2"/>
        <v>40</v>
      </c>
      <c r="S189">
        <v>10</v>
      </c>
      <c r="T189">
        <v>10</v>
      </c>
      <c r="U189">
        <v>10</v>
      </c>
      <c r="V189">
        <v>10</v>
      </c>
      <c r="W189">
        <v>45</v>
      </c>
      <c r="X189">
        <v>75</v>
      </c>
      <c r="Y189">
        <v>1.3</v>
      </c>
      <c r="Z189">
        <v>2.4500000000000002</v>
      </c>
      <c r="AA189" s="18">
        <v>114131</v>
      </c>
    </row>
    <row r="190" spans="1:29" x14ac:dyDescent="0.2">
      <c r="A190" s="3">
        <v>11414</v>
      </c>
      <c r="B190" t="s">
        <v>203</v>
      </c>
      <c r="C190" t="s">
        <v>2396</v>
      </c>
      <c r="D190" t="s">
        <v>69</v>
      </c>
      <c r="E190">
        <v>28</v>
      </c>
      <c r="F190">
        <v>40</v>
      </c>
      <c r="G190">
        <v>79</v>
      </c>
      <c r="H190">
        <v>38</v>
      </c>
      <c r="I190">
        <v>55</v>
      </c>
      <c r="J190">
        <v>77</v>
      </c>
      <c r="K190" s="1">
        <v>92</v>
      </c>
      <c r="L190">
        <v>92</v>
      </c>
      <c r="M190">
        <v>37</v>
      </c>
      <c r="N190">
        <v>36</v>
      </c>
      <c r="O190">
        <v>1</v>
      </c>
      <c r="P190">
        <v>16</v>
      </c>
      <c r="Q190">
        <v>3</v>
      </c>
      <c r="R190" s="18">
        <f t="shared" si="2"/>
        <v>0</v>
      </c>
      <c r="S190">
        <v>0</v>
      </c>
      <c r="T190">
        <v>0</v>
      </c>
      <c r="U190">
        <v>0</v>
      </c>
      <c r="V190">
        <v>0</v>
      </c>
      <c r="W190">
        <v>10</v>
      </c>
      <c r="X190">
        <v>25</v>
      </c>
      <c r="Y190">
        <v>0.48</v>
      </c>
      <c r="Z190">
        <v>0.9</v>
      </c>
      <c r="AA190">
        <v>114141</v>
      </c>
    </row>
    <row r="191" spans="1:29" x14ac:dyDescent="0.2">
      <c r="A191" s="3">
        <v>11416</v>
      </c>
      <c r="B191" t="s">
        <v>203</v>
      </c>
      <c r="C191" t="s">
        <v>2358</v>
      </c>
      <c r="D191" t="s">
        <v>80</v>
      </c>
      <c r="E191">
        <v>36</v>
      </c>
      <c r="F191">
        <v>43</v>
      </c>
      <c r="G191">
        <v>87</v>
      </c>
      <c r="H191">
        <v>47</v>
      </c>
      <c r="I191">
        <v>81</v>
      </c>
      <c r="J191">
        <v>84</v>
      </c>
      <c r="K191" s="1">
        <v>95</v>
      </c>
      <c r="L191">
        <v>96</v>
      </c>
      <c r="M191">
        <v>16</v>
      </c>
      <c r="N191">
        <v>38</v>
      </c>
      <c r="O191">
        <v>1</v>
      </c>
      <c r="P191">
        <v>7</v>
      </c>
      <c r="Q191">
        <v>3</v>
      </c>
      <c r="R191" s="18">
        <f t="shared" si="2"/>
        <v>0</v>
      </c>
      <c r="S191">
        <v>0</v>
      </c>
      <c r="T191">
        <v>0</v>
      </c>
      <c r="U191">
        <v>0</v>
      </c>
      <c r="V191">
        <v>0</v>
      </c>
      <c r="W191" s="6">
        <v>15</v>
      </c>
      <c r="X191" s="6">
        <v>25</v>
      </c>
      <c r="Y191" s="6">
        <v>0.5</v>
      </c>
      <c r="Z191" s="6">
        <v>0.9</v>
      </c>
      <c r="AA191" s="6">
        <v>114161</v>
      </c>
    </row>
    <row r="192" spans="1:29" x14ac:dyDescent="0.2">
      <c r="A192" s="3">
        <v>11425</v>
      </c>
      <c r="B192" t="s">
        <v>203</v>
      </c>
      <c r="C192" t="s">
        <v>2290</v>
      </c>
      <c r="D192" t="s">
        <v>67</v>
      </c>
      <c r="E192">
        <v>32</v>
      </c>
      <c r="F192">
        <v>40</v>
      </c>
      <c r="G192">
        <v>87</v>
      </c>
      <c r="H192">
        <v>39</v>
      </c>
      <c r="I192">
        <v>62</v>
      </c>
      <c r="J192">
        <v>79</v>
      </c>
      <c r="K192" s="1">
        <v>94</v>
      </c>
      <c r="L192">
        <v>90</v>
      </c>
      <c r="M192">
        <v>32</v>
      </c>
      <c r="N192">
        <v>37</v>
      </c>
      <c r="O192">
        <v>1</v>
      </c>
      <c r="P192">
        <v>20</v>
      </c>
      <c r="Q192">
        <v>3</v>
      </c>
      <c r="R192" s="18">
        <f t="shared" si="2"/>
        <v>0</v>
      </c>
      <c r="S192">
        <v>0</v>
      </c>
      <c r="T192">
        <v>0</v>
      </c>
      <c r="U192">
        <v>0</v>
      </c>
      <c r="V192">
        <v>0</v>
      </c>
      <c r="W192">
        <v>15</v>
      </c>
      <c r="X192">
        <v>25</v>
      </c>
      <c r="Y192">
        <v>0.48</v>
      </c>
      <c r="Z192">
        <v>0.9</v>
      </c>
      <c r="AA192">
        <v>114251</v>
      </c>
    </row>
    <row r="193" spans="1:29" x14ac:dyDescent="0.2">
      <c r="A193" s="3">
        <v>11426</v>
      </c>
      <c r="B193" t="s">
        <v>21</v>
      </c>
      <c r="C193" s="8" t="s">
        <v>62</v>
      </c>
      <c r="D193" t="s">
        <v>68</v>
      </c>
      <c r="E193">
        <v>64</v>
      </c>
      <c r="F193">
        <v>40</v>
      </c>
      <c r="G193">
        <v>0</v>
      </c>
      <c r="H193">
        <v>62</v>
      </c>
      <c r="I193">
        <v>70</v>
      </c>
      <c r="J193">
        <v>0</v>
      </c>
      <c r="K193" s="1">
        <v>100</v>
      </c>
      <c r="L193">
        <v>62</v>
      </c>
      <c r="M193">
        <v>72</v>
      </c>
      <c r="N193">
        <v>34</v>
      </c>
      <c r="O193">
        <v>1</v>
      </c>
      <c r="P193">
        <v>6</v>
      </c>
      <c r="Q193">
        <v>4</v>
      </c>
      <c r="R193" s="18">
        <f t="shared" si="2"/>
        <v>72</v>
      </c>
      <c r="S193">
        <v>16</v>
      </c>
      <c r="T193">
        <v>25</v>
      </c>
      <c r="U193">
        <v>17</v>
      </c>
      <c r="V193">
        <v>14</v>
      </c>
      <c r="W193">
        <v>70</v>
      </c>
      <c r="X193">
        <v>65</v>
      </c>
      <c r="Y193">
        <v>2.1</v>
      </c>
      <c r="Z193">
        <v>5.2</v>
      </c>
      <c r="AA193">
        <v>104261</v>
      </c>
      <c r="AB193">
        <v>114262</v>
      </c>
    </row>
    <row r="194" spans="1:29" x14ac:dyDescent="0.2">
      <c r="A194" s="29">
        <v>11430</v>
      </c>
      <c r="B194" t="s">
        <v>2250</v>
      </c>
      <c r="C194" s="29" t="s">
        <v>2723</v>
      </c>
      <c r="D194" t="s">
        <v>80</v>
      </c>
      <c r="E194">
        <v>52</v>
      </c>
      <c r="F194">
        <v>61</v>
      </c>
      <c r="G194">
        <v>0</v>
      </c>
      <c r="H194">
        <v>58</v>
      </c>
      <c r="I194">
        <v>105</v>
      </c>
      <c r="J194">
        <v>0</v>
      </c>
      <c r="K194" s="1">
        <v>99</v>
      </c>
      <c r="L194">
        <v>74</v>
      </c>
      <c r="M194">
        <v>44</v>
      </c>
      <c r="N194">
        <v>33</v>
      </c>
      <c r="O194">
        <v>2</v>
      </c>
      <c r="P194">
        <v>17</v>
      </c>
      <c r="Q194">
        <v>4</v>
      </c>
      <c r="R194" s="18">
        <f t="shared" ref="R194:R211" si="3">SUM($S194:$V194)</f>
        <v>48</v>
      </c>
      <c r="S194">
        <v>12</v>
      </c>
      <c r="T194">
        <v>12</v>
      </c>
      <c r="U194">
        <v>12</v>
      </c>
      <c r="V194">
        <v>12</v>
      </c>
      <c r="W194">
        <v>30</v>
      </c>
      <c r="X194">
        <v>75</v>
      </c>
      <c r="Y194">
        <v>0.9</v>
      </c>
      <c r="Z194">
        <v>1.7</v>
      </c>
      <c r="AA194">
        <v>114301</v>
      </c>
    </row>
    <row r="195" spans="1:29" x14ac:dyDescent="0.2">
      <c r="A195" s="3">
        <v>11431</v>
      </c>
      <c r="B195" t="s">
        <v>205</v>
      </c>
      <c r="C195" t="s">
        <v>1934</v>
      </c>
      <c r="D195" s="3" t="s">
        <v>69</v>
      </c>
      <c r="E195" s="6">
        <v>60</v>
      </c>
      <c r="F195" s="6">
        <v>65</v>
      </c>
      <c r="G195" s="6">
        <v>60</v>
      </c>
      <c r="H195" s="6">
        <v>47</v>
      </c>
      <c r="I195" s="6">
        <v>81</v>
      </c>
      <c r="J195" s="6">
        <v>0</v>
      </c>
      <c r="K195" s="11">
        <v>97</v>
      </c>
      <c r="L195" s="6">
        <v>84</v>
      </c>
      <c r="M195" s="6">
        <v>62</v>
      </c>
      <c r="N195" s="6">
        <v>31.5</v>
      </c>
      <c r="O195" s="6">
        <v>2</v>
      </c>
      <c r="P195" s="6">
        <v>20</v>
      </c>
      <c r="Q195" s="6">
        <v>4</v>
      </c>
      <c r="R195">
        <f t="shared" si="3"/>
        <v>0</v>
      </c>
      <c r="S195" s="6">
        <v>0</v>
      </c>
      <c r="T195" s="6">
        <v>0</v>
      </c>
      <c r="U195" s="6">
        <v>0</v>
      </c>
      <c r="V195" s="6">
        <v>0</v>
      </c>
      <c r="W195" s="6">
        <v>35</v>
      </c>
      <c r="X195" s="6">
        <v>70</v>
      </c>
      <c r="Y195" s="6">
        <v>1.28</v>
      </c>
      <c r="Z195" s="6">
        <v>2.4</v>
      </c>
      <c r="AA195" s="6">
        <v>114311</v>
      </c>
      <c r="AB195" s="6"/>
    </row>
    <row r="196" spans="1:29" x14ac:dyDescent="0.2">
      <c r="A196" s="3">
        <v>11456</v>
      </c>
      <c r="B196" t="s">
        <v>204</v>
      </c>
      <c r="C196" t="s">
        <v>1941</v>
      </c>
      <c r="D196" s="3" t="s">
        <v>80</v>
      </c>
      <c r="E196" s="6">
        <v>64</v>
      </c>
      <c r="F196" s="6">
        <v>76</v>
      </c>
      <c r="G196" s="6">
        <v>0</v>
      </c>
      <c r="H196" s="6">
        <v>67</v>
      </c>
      <c r="I196" s="6">
        <v>100</v>
      </c>
      <c r="J196" s="6">
        <v>79</v>
      </c>
      <c r="K196" s="6">
        <v>97</v>
      </c>
      <c r="L196" s="6">
        <v>83</v>
      </c>
      <c r="M196" s="6">
        <v>59</v>
      </c>
      <c r="N196" s="6">
        <v>32.6</v>
      </c>
      <c r="O196" s="6">
        <v>2</v>
      </c>
      <c r="P196" s="6">
        <v>19</v>
      </c>
      <c r="Q196" s="6">
        <v>4</v>
      </c>
      <c r="R196">
        <f t="shared" si="3"/>
        <v>0</v>
      </c>
      <c r="S196" s="6">
        <v>0</v>
      </c>
      <c r="T196" s="6">
        <v>0</v>
      </c>
      <c r="U196" s="6">
        <v>0</v>
      </c>
      <c r="V196" s="6">
        <v>0</v>
      </c>
      <c r="W196" s="6">
        <v>45</v>
      </c>
      <c r="X196" s="6">
        <v>80</v>
      </c>
      <c r="Y196" s="6">
        <v>1.5</v>
      </c>
      <c r="Z196" s="6">
        <v>2.8</v>
      </c>
      <c r="AA196" s="6">
        <v>114561</v>
      </c>
      <c r="AB196" s="6"/>
    </row>
    <row r="197" spans="1:29" x14ac:dyDescent="0.2">
      <c r="A197" s="3">
        <v>11467</v>
      </c>
      <c r="B197" t="s">
        <v>211</v>
      </c>
      <c r="C197" t="s">
        <v>2543</v>
      </c>
      <c r="D197" t="s">
        <v>1937</v>
      </c>
      <c r="E197">
        <v>33</v>
      </c>
      <c r="F197">
        <v>42</v>
      </c>
      <c r="G197">
        <v>0</v>
      </c>
      <c r="H197">
        <v>40</v>
      </c>
      <c r="I197">
        <v>65</v>
      </c>
      <c r="J197">
        <v>0</v>
      </c>
      <c r="K197" s="1">
        <v>101</v>
      </c>
      <c r="L197">
        <v>93</v>
      </c>
      <c r="M197">
        <v>44</v>
      </c>
      <c r="N197">
        <v>39</v>
      </c>
      <c r="O197">
        <v>1</v>
      </c>
      <c r="P197">
        <v>25</v>
      </c>
      <c r="Q197">
        <v>3</v>
      </c>
      <c r="R197" s="18">
        <f t="shared" si="3"/>
        <v>24</v>
      </c>
      <c r="S197">
        <v>8</v>
      </c>
      <c r="T197">
        <v>8</v>
      </c>
      <c r="U197">
        <v>8</v>
      </c>
      <c r="V197">
        <v>0</v>
      </c>
      <c r="W197">
        <v>25</v>
      </c>
      <c r="X197">
        <v>65</v>
      </c>
      <c r="Y197">
        <v>0.48</v>
      </c>
      <c r="Z197">
        <v>1.5</v>
      </c>
      <c r="AA197">
        <v>104671</v>
      </c>
      <c r="AB197">
        <v>114672</v>
      </c>
      <c r="AC197" s="3" t="s">
        <v>2506</v>
      </c>
    </row>
    <row r="198" spans="1:29" x14ac:dyDescent="0.2">
      <c r="A198" s="3">
        <v>11483</v>
      </c>
      <c r="B198" t="s">
        <v>75</v>
      </c>
      <c r="C198" s="8" t="s">
        <v>81</v>
      </c>
      <c r="D198" t="s">
        <v>69</v>
      </c>
      <c r="E198">
        <v>80</v>
      </c>
      <c r="F198">
        <v>45</v>
      </c>
      <c r="G198">
        <v>0</v>
      </c>
      <c r="H198">
        <v>96</v>
      </c>
      <c r="I198">
        <v>101</v>
      </c>
      <c r="J198">
        <v>0</v>
      </c>
      <c r="K198" s="1">
        <v>97</v>
      </c>
      <c r="L198">
        <v>66</v>
      </c>
      <c r="M198">
        <v>78</v>
      </c>
      <c r="N198">
        <v>30.5</v>
      </c>
      <c r="O198">
        <v>1</v>
      </c>
      <c r="P198">
        <v>25</v>
      </c>
      <c r="Q198">
        <v>4</v>
      </c>
      <c r="R198">
        <f t="shared" si="3"/>
        <v>67</v>
      </c>
      <c r="S198">
        <v>20</v>
      </c>
      <c r="T198">
        <v>21</v>
      </c>
      <c r="U198">
        <v>15</v>
      </c>
      <c r="V198">
        <v>11</v>
      </c>
      <c r="W198" s="6">
        <v>75</v>
      </c>
      <c r="X198" s="6">
        <v>90</v>
      </c>
      <c r="Y198" s="6">
        <v>2.88</v>
      </c>
      <c r="Z198" s="6">
        <v>5.5</v>
      </c>
      <c r="AA198">
        <v>104831</v>
      </c>
      <c r="AB198" s="6">
        <v>114832</v>
      </c>
    </row>
    <row r="199" spans="1:29" x14ac:dyDescent="0.2">
      <c r="A199" s="3">
        <v>11490</v>
      </c>
      <c r="B199" t="s">
        <v>209</v>
      </c>
      <c r="C199" t="s">
        <v>2575</v>
      </c>
      <c r="D199" t="s">
        <v>68</v>
      </c>
      <c r="E199">
        <v>72</v>
      </c>
      <c r="F199">
        <v>91</v>
      </c>
      <c r="G199">
        <v>45</v>
      </c>
      <c r="H199">
        <v>80</v>
      </c>
      <c r="I199">
        <v>70</v>
      </c>
      <c r="J199">
        <v>0</v>
      </c>
      <c r="K199" s="1">
        <v>94</v>
      </c>
      <c r="L199">
        <v>73</v>
      </c>
      <c r="M199">
        <v>44</v>
      </c>
      <c r="N199">
        <v>35</v>
      </c>
      <c r="O199">
        <v>3</v>
      </c>
      <c r="P199">
        <v>6</v>
      </c>
      <c r="Q199">
        <v>4</v>
      </c>
      <c r="R199" s="18">
        <f t="shared" si="3"/>
        <v>0</v>
      </c>
      <c r="S199">
        <v>0</v>
      </c>
      <c r="T199">
        <v>0</v>
      </c>
      <c r="U199">
        <v>0</v>
      </c>
      <c r="V199">
        <v>0</v>
      </c>
      <c r="W199">
        <v>60</v>
      </c>
      <c r="X199">
        <v>130</v>
      </c>
      <c r="Y199">
        <v>2.8</v>
      </c>
      <c r="Z199">
        <v>5.8</v>
      </c>
      <c r="AA199">
        <v>104901</v>
      </c>
    </row>
    <row r="200" spans="1:29" x14ac:dyDescent="0.2">
      <c r="A200" s="29">
        <v>11496</v>
      </c>
      <c r="B200" t="s">
        <v>2233</v>
      </c>
      <c r="C200" s="29" t="s">
        <v>2234</v>
      </c>
      <c r="D200" t="s">
        <v>2222</v>
      </c>
      <c r="E200">
        <v>43</v>
      </c>
      <c r="F200">
        <v>46</v>
      </c>
      <c r="G200">
        <v>83</v>
      </c>
      <c r="H200">
        <v>42</v>
      </c>
      <c r="I200">
        <v>95</v>
      </c>
      <c r="J200">
        <v>136</v>
      </c>
      <c r="K200" s="1">
        <v>92</v>
      </c>
      <c r="L200">
        <v>91</v>
      </c>
      <c r="M200">
        <v>51</v>
      </c>
      <c r="N200">
        <v>32</v>
      </c>
      <c r="O200">
        <v>1</v>
      </c>
      <c r="P200">
        <v>10</v>
      </c>
      <c r="Q200">
        <v>3</v>
      </c>
      <c r="R200" s="18">
        <f t="shared" si="3"/>
        <v>0</v>
      </c>
      <c r="S200">
        <v>0</v>
      </c>
      <c r="T200">
        <v>0</v>
      </c>
      <c r="U200">
        <v>0</v>
      </c>
      <c r="V200">
        <v>0</v>
      </c>
      <c r="W200">
        <v>25</v>
      </c>
      <c r="X200">
        <v>35</v>
      </c>
      <c r="Y200">
        <v>0.7</v>
      </c>
      <c r="Z200">
        <v>1.2</v>
      </c>
      <c r="AA200">
        <v>114961</v>
      </c>
    </row>
    <row r="201" spans="1:29" x14ac:dyDescent="0.2">
      <c r="A201" s="3">
        <v>11503</v>
      </c>
      <c r="B201" t="s">
        <v>203</v>
      </c>
      <c r="C201" t="s">
        <v>2481</v>
      </c>
      <c r="D201" t="s">
        <v>68</v>
      </c>
      <c r="E201">
        <v>32</v>
      </c>
      <c r="F201">
        <v>37</v>
      </c>
      <c r="G201">
        <v>81</v>
      </c>
      <c r="H201">
        <v>36</v>
      </c>
      <c r="I201">
        <v>65</v>
      </c>
      <c r="J201">
        <v>71</v>
      </c>
      <c r="K201" s="1">
        <v>92</v>
      </c>
      <c r="L201">
        <v>90</v>
      </c>
      <c r="M201">
        <v>36</v>
      </c>
      <c r="N201">
        <v>33.5</v>
      </c>
      <c r="O201">
        <v>1</v>
      </c>
      <c r="P201">
        <v>24</v>
      </c>
      <c r="Q201">
        <v>3</v>
      </c>
      <c r="R201" s="18">
        <f t="shared" si="3"/>
        <v>0</v>
      </c>
      <c r="S201">
        <v>0</v>
      </c>
      <c r="T201">
        <v>0</v>
      </c>
      <c r="U201">
        <v>0</v>
      </c>
      <c r="V201">
        <v>0</v>
      </c>
      <c r="W201">
        <v>15</v>
      </c>
      <c r="X201">
        <v>25</v>
      </c>
      <c r="Y201">
        <v>0.48</v>
      </c>
      <c r="Z201">
        <v>0.8</v>
      </c>
      <c r="AA201">
        <v>115031</v>
      </c>
    </row>
    <row r="202" spans="1:29" x14ac:dyDescent="0.2">
      <c r="A202" s="29">
        <v>11516</v>
      </c>
      <c r="B202" t="s">
        <v>204</v>
      </c>
      <c r="C202" s="29" t="s">
        <v>2722</v>
      </c>
      <c r="D202" t="s">
        <v>80</v>
      </c>
      <c r="E202">
        <v>52</v>
      </c>
      <c r="F202">
        <v>66</v>
      </c>
      <c r="G202">
        <v>0</v>
      </c>
      <c r="H202">
        <v>58</v>
      </c>
      <c r="I202">
        <v>112</v>
      </c>
      <c r="J202">
        <v>84</v>
      </c>
      <c r="K202" s="1">
        <v>98</v>
      </c>
      <c r="L202">
        <v>76</v>
      </c>
      <c r="M202">
        <v>41</v>
      </c>
      <c r="N202">
        <v>32</v>
      </c>
      <c r="O202">
        <v>2</v>
      </c>
      <c r="P202">
        <v>18</v>
      </c>
      <c r="Q202">
        <v>4</v>
      </c>
      <c r="R202" s="18">
        <f t="shared" si="3"/>
        <v>0</v>
      </c>
      <c r="S202">
        <v>0</v>
      </c>
      <c r="T202">
        <v>0</v>
      </c>
      <c r="U202">
        <v>0</v>
      </c>
      <c r="V202">
        <v>0</v>
      </c>
      <c r="W202">
        <v>25</v>
      </c>
      <c r="X202">
        <v>45</v>
      </c>
      <c r="Y202">
        <v>0.9</v>
      </c>
      <c r="Z202">
        <v>1.6</v>
      </c>
      <c r="AA202">
        <v>115161</v>
      </c>
    </row>
    <row r="203" spans="1:29" x14ac:dyDescent="0.2">
      <c r="A203" s="3">
        <v>11517</v>
      </c>
      <c r="B203" t="s">
        <v>203</v>
      </c>
      <c r="C203" t="s">
        <v>2395</v>
      </c>
      <c r="D203" t="s">
        <v>68</v>
      </c>
      <c r="E203">
        <v>36</v>
      </c>
      <c r="F203">
        <v>40</v>
      </c>
      <c r="G203">
        <v>75</v>
      </c>
      <c r="H203">
        <v>37</v>
      </c>
      <c r="I203">
        <v>89</v>
      </c>
      <c r="J203">
        <v>128</v>
      </c>
      <c r="K203" s="1">
        <v>92</v>
      </c>
      <c r="L203">
        <v>90</v>
      </c>
      <c r="M203">
        <v>37</v>
      </c>
      <c r="N203">
        <v>32</v>
      </c>
      <c r="O203">
        <v>1</v>
      </c>
      <c r="P203">
        <v>10</v>
      </c>
      <c r="Q203">
        <v>3</v>
      </c>
      <c r="R203" s="18">
        <f t="shared" si="3"/>
        <v>0</v>
      </c>
      <c r="S203">
        <v>0</v>
      </c>
      <c r="T203">
        <v>0</v>
      </c>
      <c r="U203">
        <v>0</v>
      </c>
      <c r="V203">
        <v>0</v>
      </c>
      <c r="W203">
        <v>15</v>
      </c>
      <c r="X203">
        <v>25</v>
      </c>
      <c r="Y203">
        <v>0.48</v>
      </c>
      <c r="Z203">
        <v>0.9</v>
      </c>
      <c r="AA203">
        <v>115171</v>
      </c>
    </row>
    <row r="204" spans="1:29" x14ac:dyDescent="0.2">
      <c r="A204" s="29">
        <v>11527</v>
      </c>
      <c r="B204" t="s">
        <v>204</v>
      </c>
      <c r="C204" s="29" t="s">
        <v>2721</v>
      </c>
      <c r="D204" t="s">
        <v>1937</v>
      </c>
      <c r="E204">
        <v>43</v>
      </c>
      <c r="F204">
        <v>56</v>
      </c>
      <c r="G204">
        <v>55</v>
      </c>
      <c r="H204">
        <v>49</v>
      </c>
      <c r="I204">
        <v>52</v>
      </c>
      <c r="J204">
        <v>69</v>
      </c>
      <c r="K204" s="1">
        <v>97</v>
      </c>
      <c r="L204">
        <v>70</v>
      </c>
      <c r="M204">
        <v>19</v>
      </c>
      <c r="N204">
        <v>28</v>
      </c>
      <c r="O204">
        <v>2</v>
      </c>
      <c r="P204">
        <v>6</v>
      </c>
      <c r="Q204">
        <v>3</v>
      </c>
      <c r="R204" s="18">
        <f t="shared" si="3"/>
        <v>0</v>
      </c>
      <c r="S204">
        <v>0</v>
      </c>
      <c r="T204">
        <v>0</v>
      </c>
      <c r="U204">
        <v>0</v>
      </c>
      <c r="V204">
        <v>0</v>
      </c>
      <c r="W204">
        <v>25</v>
      </c>
      <c r="X204">
        <v>25</v>
      </c>
      <c r="Y204">
        <v>0.7</v>
      </c>
      <c r="Z204">
        <v>1.3</v>
      </c>
      <c r="AA204">
        <v>115271</v>
      </c>
    </row>
    <row r="205" spans="1:29" x14ac:dyDescent="0.2">
      <c r="A205" s="3">
        <v>11528</v>
      </c>
      <c r="B205" t="s">
        <v>2250</v>
      </c>
      <c r="C205" s="29" t="s">
        <v>2252</v>
      </c>
      <c r="D205" t="s">
        <v>67</v>
      </c>
      <c r="E205">
        <v>60</v>
      </c>
      <c r="F205">
        <v>61</v>
      </c>
      <c r="G205">
        <v>0</v>
      </c>
      <c r="H205">
        <v>68</v>
      </c>
      <c r="I205">
        <v>112</v>
      </c>
      <c r="J205">
        <v>0</v>
      </c>
      <c r="K205" s="1">
        <v>99</v>
      </c>
      <c r="L205">
        <v>85</v>
      </c>
      <c r="M205">
        <v>54</v>
      </c>
      <c r="N205">
        <v>33</v>
      </c>
      <c r="O205">
        <v>2</v>
      </c>
      <c r="P205">
        <v>18</v>
      </c>
      <c r="Q205">
        <v>4</v>
      </c>
      <c r="R205" s="18">
        <f t="shared" si="3"/>
        <v>48</v>
      </c>
      <c r="S205">
        <v>12</v>
      </c>
      <c r="T205">
        <v>12</v>
      </c>
      <c r="U205">
        <v>12</v>
      </c>
      <c r="V205">
        <v>12</v>
      </c>
      <c r="W205">
        <v>40</v>
      </c>
      <c r="X205">
        <v>70</v>
      </c>
      <c r="Y205">
        <v>1.28</v>
      </c>
      <c r="Z205">
        <v>2.4</v>
      </c>
      <c r="AA205">
        <v>115281</v>
      </c>
    </row>
    <row r="206" spans="1:29" x14ac:dyDescent="0.2">
      <c r="A206" s="3">
        <v>11530</v>
      </c>
      <c r="B206" t="s">
        <v>208</v>
      </c>
      <c r="C206" t="s">
        <v>2576</v>
      </c>
      <c r="D206" t="s">
        <v>80</v>
      </c>
      <c r="E206">
        <v>12</v>
      </c>
      <c r="F206">
        <v>23</v>
      </c>
      <c r="G206">
        <v>73</v>
      </c>
      <c r="H206">
        <v>30</v>
      </c>
      <c r="I206">
        <v>0</v>
      </c>
      <c r="J206">
        <v>0</v>
      </c>
      <c r="K206" s="1">
        <v>108</v>
      </c>
      <c r="L206">
        <v>78</v>
      </c>
      <c r="M206">
        <v>52</v>
      </c>
      <c r="N206">
        <v>16</v>
      </c>
      <c r="O206">
        <v>1</v>
      </c>
      <c r="P206">
        <v>15</v>
      </c>
      <c r="Q206">
        <v>3</v>
      </c>
      <c r="R206" s="18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20</v>
      </c>
      <c r="X206">
        <v>20</v>
      </c>
      <c r="Y206">
        <v>0.6</v>
      </c>
      <c r="Z206">
        <v>0.65</v>
      </c>
      <c r="AA206">
        <v>115301</v>
      </c>
    </row>
    <row r="207" spans="1:29" x14ac:dyDescent="0.2">
      <c r="A207" s="3">
        <v>11532</v>
      </c>
      <c r="B207" t="s">
        <v>206</v>
      </c>
      <c r="C207" t="s">
        <v>2472</v>
      </c>
      <c r="D207" t="s">
        <v>71</v>
      </c>
      <c r="E207">
        <v>56</v>
      </c>
      <c r="F207">
        <v>88</v>
      </c>
      <c r="G207">
        <v>0</v>
      </c>
      <c r="H207">
        <v>84</v>
      </c>
      <c r="I207">
        <v>53</v>
      </c>
      <c r="J207">
        <v>0</v>
      </c>
      <c r="K207" s="1">
        <v>100</v>
      </c>
      <c r="L207">
        <v>51</v>
      </c>
      <c r="M207">
        <v>42</v>
      </c>
      <c r="N207">
        <v>22</v>
      </c>
      <c r="O207">
        <v>3</v>
      </c>
      <c r="P207">
        <v>16</v>
      </c>
      <c r="Q207">
        <v>4</v>
      </c>
      <c r="R207" s="18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75</v>
      </c>
      <c r="X207">
        <v>105</v>
      </c>
      <c r="Y207">
        <v>2.25</v>
      </c>
      <c r="Z207">
        <v>4.5999999999999996</v>
      </c>
      <c r="AA207">
        <v>105321</v>
      </c>
      <c r="AB207">
        <v>115322</v>
      </c>
    </row>
    <row r="208" spans="1:29" x14ac:dyDescent="0.2">
      <c r="A208" s="3">
        <v>11538</v>
      </c>
      <c r="B208" t="s">
        <v>208</v>
      </c>
      <c r="C208" t="s">
        <v>2577</v>
      </c>
      <c r="D208" t="s">
        <v>3</v>
      </c>
      <c r="E208">
        <v>21</v>
      </c>
      <c r="F208">
        <v>24</v>
      </c>
      <c r="G208">
        <v>95</v>
      </c>
      <c r="H208">
        <v>27</v>
      </c>
      <c r="I208">
        <v>0</v>
      </c>
      <c r="J208">
        <v>0</v>
      </c>
      <c r="K208" s="1">
        <v>103</v>
      </c>
      <c r="L208">
        <v>44</v>
      </c>
      <c r="M208">
        <v>53</v>
      </c>
      <c r="N208">
        <v>23.6</v>
      </c>
      <c r="O208">
        <v>1</v>
      </c>
      <c r="P208">
        <v>13</v>
      </c>
      <c r="Q208">
        <v>3</v>
      </c>
      <c r="R208" s="18">
        <f t="shared" si="3"/>
        <v>0</v>
      </c>
      <c r="S208">
        <v>0</v>
      </c>
      <c r="T208">
        <v>0</v>
      </c>
      <c r="U208">
        <v>0</v>
      </c>
      <c r="V208">
        <v>0</v>
      </c>
      <c r="W208">
        <v>25</v>
      </c>
      <c r="X208">
        <v>30</v>
      </c>
      <c r="Y208">
        <v>0.6</v>
      </c>
      <c r="Z208">
        <v>0.7</v>
      </c>
      <c r="AA208">
        <v>115381</v>
      </c>
    </row>
    <row r="209" spans="1:27" x14ac:dyDescent="0.2">
      <c r="A209" s="3">
        <v>11545</v>
      </c>
      <c r="B209" t="s">
        <v>90</v>
      </c>
      <c r="C209" t="s">
        <v>2482</v>
      </c>
      <c r="D209" t="s">
        <v>68</v>
      </c>
      <c r="E209">
        <v>68</v>
      </c>
      <c r="F209">
        <v>40</v>
      </c>
      <c r="G209">
        <v>0</v>
      </c>
      <c r="H209">
        <v>57</v>
      </c>
      <c r="I209">
        <v>75</v>
      </c>
      <c r="J209">
        <v>0</v>
      </c>
      <c r="K209" s="1">
        <v>95</v>
      </c>
      <c r="L209">
        <v>83</v>
      </c>
      <c r="M209">
        <v>72</v>
      </c>
      <c r="N209">
        <v>32</v>
      </c>
      <c r="O209">
        <v>1</v>
      </c>
      <c r="P209">
        <v>7</v>
      </c>
      <c r="Q209">
        <v>3</v>
      </c>
      <c r="R209" s="18">
        <f t="shared" si="3"/>
        <v>32</v>
      </c>
      <c r="S209">
        <v>11</v>
      </c>
      <c r="T209">
        <v>11</v>
      </c>
      <c r="U209">
        <v>10</v>
      </c>
      <c r="V209">
        <v>0</v>
      </c>
      <c r="W209">
        <v>35</v>
      </c>
      <c r="X209">
        <v>70</v>
      </c>
      <c r="Y209">
        <v>1.3</v>
      </c>
      <c r="Z209">
        <v>2.64</v>
      </c>
      <c r="AA209">
        <v>115451</v>
      </c>
    </row>
    <row r="210" spans="1:27" x14ac:dyDescent="0.2">
      <c r="A210" s="3">
        <v>11560</v>
      </c>
      <c r="B210" t="s">
        <v>2578</v>
      </c>
      <c r="C210" t="s">
        <v>2579</v>
      </c>
      <c r="D210" t="s">
        <v>68</v>
      </c>
      <c r="E210">
        <v>68</v>
      </c>
      <c r="F210">
        <v>74</v>
      </c>
      <c r="G210">
        <v>0</v>
      </c>
      <c r="H210">
        <v>74</v>
      </c>
      <c r="I210">
        <v>60</v>
      </c>
      <c r="J210">
        <v>0</v>
      </c>
      <c r="K210" s="1">
        <v>99</v>
      </c>
      <c r="L210">
        <v>56</v>
      </c>
      <c r="M210">
        <v>26</v>
      </c>
      <c r="N210">
        <v>18</v>
      </c>
      <c r="O210">
        <v>3</v>
      </c>
      <c r="P210">
        <v>21</v>
      </c>
      <c r="Q210">
        <v>3</v>
      </c>
      <c r="R210" s="18">
        <f t="shared" si="3"/>
        <v>0</v>
      </c>
      <c r="S210">
        <v>0</v>
      </c>
      <c r="T210">
        <v>0</v>
      </c>
      <c r="U210">
        <v>0</v>
      </c>
      <c r="V210">
        <v>0</v>
      </c>
      <c r="W210">
        <v>40</v>
      </c>
      <c r="X210">
        <v>65</v>
      </c>
      <c r="Y210">
        <v>1.3</v>
      </c>
      <c r="Z210">
        <v>1.2</v>
      </c>
      <c r="AA210">
        <v>115601</v>
      </c>
    </row>
    <row r="211" spans="1:27" x14ac:dyDescent="0.2">
      <c r="A211" s="3">
        <v>11575</v>
      </c>
      <c r="B211" t="s">
        <v>212</v>
      </c>
      <c r="C211" t="s">
        <v>2580</v>
      </c>
      <c r="D211" t="s">
        <v>80</v>
      </c>
      <c r="E211">
        <v>40</v>
      </c>
      <c r="F211">
        <v>46</v>
      </c>
      <c r="G211">
        <v>0</v>
      </c>
      <c r="H211">
        <v>39</v>
      </c>
      <c r="I211">
        <v>94</v>
      </c>
      <c r="J211">
        <v>74</v>
      </c>
      <c r="K211" s="1">
        <v>107</v>
      </c>
      <c r="L211">
        <v>86</v>
      </c>
      <c r="M211">
        <v>48</v>
      </c>
      <c r="N211">
        <v>35</v>
      </c>
      <c r="O211">
        <v>1</v>
      </c>
      <c r="P211">
        <v>17</v>
      </c>
      <c r="Q211">
        <v>3</v>
      </c>
      <c r="R211" s="18">
        <f t="shared" si="3"/>
        <v>48</v>
      </c>
      <c r="S211">
        <v>16</v>
      </c>
      <c r="T211">
        <v>16</v>
      </c>
      <c r="U211">
        <v>16</v>
      </c>
      <c r="V211">
        <v>0</v>
      </c>
      <c r="W211">
        <v>15</v>
      </c>
      <c r="X211">
        <v>40</v>
      </c>
      <c r="Y211">
        <v>0.5</v>
      </c>
      <c r="Z211">
        <v>0.9</v>
      </c>
      <c r="AA211">
        <v>115751</v>
      </c>
    </row>
  </sheetData>
  <autoFilter ref="A1:AC205" xr:uid="{00000000-0009-0000-0000-000001000000}">
    <sortState xmlns:xlrd2="http://schemas.microsoft.com/office/spreadsheetml/2017/richdata2" ref="A2:AC211">
      <sortCondition ref="A1:A205"/>
    </sortState>
  </autoFilter>
  <phoneticPr fontId="2" type="noConversion"/>
  <conditionalFormatting sqref="C2:C45">
    <cfRule type="expression" dxfId="57" priority="77">
      <formula>F2=2</formula>
    </cfRule>
    <cfRule type="expression" dxfId="56" priority="76">
      <formula>F2=3</formula>
    </cfRule>
    <cfRule type="expression" dxfId="55" priority="75">
      <formula>F2=4</formula>
    </cfRule>
    <cfRule type="expression" dxfId="54" priority="74">
      <formula>F2=5</formula>
    </cfRule>
    <cfRule type="expression" dxfId="53" priority="73">
      <formula>F2=6</formula>
    </cfRule>
    <cfRule type="expression" dxfId="52" priority="78">
      <formula>F2=1</formula>
    </cfRule>
  </conditionalFormatting>
  <conditionalFormatting sqref="C46:C54">
    <cfRule type="expression" dxfId="51" priority="83">
      <formula>E46=2</formula>
    </cfRule>
    <cfRule type="expression" dxfId="50" priority="82">
      <formula>E46=3</formula>
    </cfRule>
    <cfRule type="expression" dxfId="49" priority="84">
      <formula>E46=1</formula>
    </cfRule>
    <cfRule type="expression" dxfId="48" priority="81">
      <formula>E46=4</formula>
    </cfRule>
    <cfRule type="expression" dxfId="47" priority="80">
      <formula>E46=5</formula>
    </cfRule>
    <cfRule type="expression" dxfId="46" priority="79">
      <formula>E46=6</formula>
    </cfRule>
  </conditionalFormatting>
  <conditionalFormatting sqref="C59:C67">
    <cfRule type="expression" dxfId="45" priority="66">
      <formula>F59=1</formula>
    </cfRule>
    <cfRule type="expression" dxfId="44" priority="65">
      <formula>F59=2</formula>
    </cfRule>
    <cfRule type="expression" dxfId="43" priority="64">
      <formula>F59=3</formula>
    </cfRule>
    <cfRule type="expression" dxfId="42" priority="63">
      <formula>F59=4</formula>
    </cfRule>
    <cfRule type="expression" dxfId="41" priority="62">
      <formula>F59=5</formula>
    </cfRule>
    <cfRule type="expression" dxfId="40" priority="61">
      <formula>F59=6</formula>
    </cfRule>
  </conditionalFormatting>
  <conditionalFormatting sqref="C81:C82 C84">
    <cfRule type="expression" dxfId="39" priority="49">
      <formula>F81=6</formula>
    </cfRule>
    <cfRule type="expression" dxfId="38" priority="50">
      <formula>F81=5</formula>
    </cfRule>
    <cfRule type="expression" dxfId="37" priority="51">
      <formula>F81=4</formula>
    </cfRule>
    <cfRule type="expression" dxfId="36" priority="52">
      <formula>F81=3</formula>
    </cfRule>
    <cfRule type="expression" dxfId="35" priority="54">
      <formula>F81=1</formula>
    </cfRule>
    <cfRule type="expression" dxfId="34" priority="53">
      <formula>F81=2</formula>
    </cfRule>
  </conditionalFormatting>
  <conditionalFormatting sqref="C83">
    <cfRule type="expression" dxfId="33" priority="57">
      <formula>F84=4</formula>
    </cfRule>
    <cfRule type="expression" dxfId="32" priority="59">
      <formula>F84=2</formula>
    </cfRule>
    <cfRule type="expression" dxfId="31" priority="60">
      <formula>F84=1</formula>
    </cfRule>
    <cfRule type="expression" dxfId="30" priority="58">
      <formula>F84=3</formula>
    </cfRule>
    <cfRule type="expression" dxfId="29" priority="55">
      <formula>F84=6</formula>
    </cfRule>
    <cfRule type="expression" dxfId="28" priority="56">
      <formula>F84=5</formula>
    </cfRule>
  </conditionalFormatting>
  <conditionalFormatting sqref="C90:C115">
    <cfRule type="expression" dxfId="27" priority="28">
      <formula>F90=3</formula>
    </cfRule>
    <cfRule type="expression" dxfId="26" priority="29">
      <formula>F90=2</formula>
    </cfRule>
    <cfRule type="expression" dxfId="25" priority="30">
      <formula>F90=1</formula>
    </cfRule>
    <cfRule type="expression" dxfId="24" priority="27">
      <formula>F90=4</formula>
    </cfRule>
    <cfRule type="expression" dxfId="23" priority="26">
      <formula>F90=5</formula>
    </cfRule>
    <cfRule type="expression" dxfId="22" priority="25">
      <formula>F90=6</formula>
    </cfRule>
  </conditionalFormatting>
  <conditionalFormatting sqref="C116:C117">
    <cfRule type="expression" dxfId="21" priority="19">
      <formula>E116=6</formula>
    </cfRule>
    <cfRule type="expression" dxfId="20" priority="24">
      <formula>E116=1</formula>
    </cfRule>
    <cfRule type="expression" dxfId="19" priority="23">
      <formula>E116=2</formula>
    </cfRule>
    <cfRule type="expression" dxfId="18" priority="22">
      <formula>E116=3</formula>
    </cfRule>
    <cfRule type="expression" dxfId="17" priority="21">
      <formula>E116=4</formula>
    </cfRule>
    <cfRule type="expression" dxfId="16" priority="20">
      <formula>E116=5</formula>
    </cfRule>
  </conditionalFormatting>
  <conditionalFormatting sqref="C148:C150">
    <cfRule type="expression" dxfId="15" priority="12">
      <formula>F148=1</formula>
    </cfRule>
    <cfRule type="expression" dxfId="14" priority="11">
      <formula>F148=2</formula>
    </cfRule>
    <cfRule type="expression" dxfId="13" priority="7">
      <formula>F148=6</formula>
    </cfRule>
    <cfRule type="expression" dxfId="12" priority="10">
      <formula>F148=3</formula>
    </cfRule>
    <cfRule type="expression" dxfId="11" priority="9">
      <formula>F148=4</formula>
    </cfRule>
    <cfRule type="expression" dxfId="10" priority="8">
      <formula>F148=5</formula>
    </cfRule>
  </conditionalFormatting>
  <conditionalFormatting sqref="C189">
    <cfRule type="expression" dxfId="9" priority="2">
      <formula>F189=4</formula>
    </cfRule>
    <cfRule type="expression" dxfId="8" priority="3">
      <formula>F189=3</formula>
    </cfRule>
    <cfRule type="expression" dxfId="7" priority="1">
      <formula>F189=6</formula>
    </cfRule>
    <cfRule type="expression" dxfId="6" priority="6">
      <formula>F189=5</formula>
    </cfRule>
    <cfRule type="expression" dxfId="5" priority="5">
      <formula>F189=1</formula>
    </cfRule>
    <cfRule type="expression" dxfId="4" priority="4">
      <formula>F189=2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691"/>
  <sheetViews>
    <sheetView workbookViewId="0">
      <pane xSplit="4" ySplit="1" topLeftCell="E663" activePane="bottomRight" state="frozen"/>
      <selection pane="topRight" activeCell="E1" sqref="E1"/>
      <selection pane="bottomLeft" activeCell="A2" sqref="A2"/>
      <selection pane="bottomRight" activeCell="AA693" sqref="AA693"/>
    </sheetView>
  </sheetViews>
  <sheetFormatPr defaultColWidth="9" defaultRowHeight="14.25" x14ac:dyDescent="0.2"/>
  <cols>
    <col min="1" max="1" width="9" style="2"/>
    <col min="3" max="3" width="38" bestFit="1" customWidth="1"/>
    <col min="4" max="4" width="15.125" bestFit="1" customWidth="1"/>
    <col min="23" max="23" width="9" style="2"/>
    <col min="24" max="24" width="9" customWidth="1"/>
    <col min="25" max="25" width="9" style="6"/>
    <col min="27" max="27" width="20.125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1828</v>
      </c>
      <c r="Y1" s="6" t="s">
        <v>1685</v>
      </c>
      <c r="Z1" t="s">
        <v>1827</v>
      </c>
      <c r="AA1" t="s">
        <v>1826</v>
      </c>
    </row>
    <row r="2" spans="1:27" x14ac:dyDescent="0.2">
      <c r="A2" s="2" t="s">
        <v>482</v>
      </c>
      <c r="B2" t="s">
        <v>293</v>
      </c>
      <c r="C2" t="s">
        <v>218</v>
      </c>
      <c r="D2" t="s">
        <v>1680</v>
      </c>
      <c r="O2">
        <v>20</v>
      </c>
      <c r="Q2">
        <v>1</v>
      </c>
      <c r="V2">
        <v>15</v>
      </c>
    </row>
    <row r="3" spans="1:27" x14ac:dyDescent="0.2">
      <c r="A3" s="2" t="s">
        <v>1841</v>
      </c>
      <c r="B3" t="s">
        <v>217</v>
      </c>
      <c r="C3" t="s">
        <v>296</v>
      </c>
      <c r="D3" t="s">
        <v>1680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1842</v>
      </c>
      <c r="B4" t="s">
        <v>217</v>
      </c>
      <c r="C4" t="s">
        <v>1831</v>
      </c>
      <c r="D4" t="s">
        <v>1680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1843</v>
      </c>
      <c r="B5" t="s">
        <v>491</v>
      </c>
      <c r="C5" t="s">
        <v>492</v>
      </c>
      <c r="D5" t="s">
        <v>1680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1844</v>
      </c>
      <c r="B6" t="s">
        <v>293</v>
      </c>
      <c r="C6" t="s">
        <v>846</v>
      </c>
      <c r="D6" t="s">
        <v>1680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1764</v>
      </c>
    </row>
    <row r="7" spans="1:27" x14ac:dyDescent="0.2">
      <c r="A7" s="2" t="s">
        <v>494</v>
      </c>
      <c r="B7" t="s">
        <v>293</v>
      </c>
      <c r="C7" t="s">
        <v>726</v>
      </c>
      <c r="D7" t="s">
        <v>1680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1684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1680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1706</v>
      </c>
    </row>
    <row r="9" spans="1:27" x14ac:dyDescent="0.2">
      <c r="A9" s="2" t="s">
        <v>1683</v>
      </c>
      <c r="B9" t="s">
        <v>294</v>
      </c>
      <c r="C9" t="s">
        <v>297</v>
      </c>
      <c r="D9" t="s">
        <v>1680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1836</v>
      </c>
      <c r="B10" t="s">
        <v>295</v>
      </c>
      <c r="C10" t="s">
        <v>298</v>
      </c>
      <c r="D10" t="s">
        <v>1680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1837</v>
      </c>
      <c r="B11" t="s">
        <v>293</v>
      </c>
      <c r="C11" t="s">
        <v>493</v>
      </c>
      <c r="D11" t="s">
        <v>1680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1838</v>
      </c>
      <c r="B12" t="s">
        <v>293</v>
      </c>
      <c r="C12" t="s">
        <v>495</v>
      </c>
      <c r="D12" t="s">
        <v>1680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1839</v>
      </c>
      <c r="B13" t="s">
        <v>293</v>
      </c>
      <c r="C13" t="s">
        <v>1830</v>
      </c>
      <c r="D13" t="s">
        <v>1680</v>
      </c>
      <c r="O13">
        <v>10</v>
      </c>
      <c r="P13">
        <v>9</v>
      </c>
      <c r="Q13">
        <v>1</v>
      </c>
      <c r="V13">
        <v>6</v>
      </c>
      <c r="W13" s="2" t="s">
        <v>1684</v>
      </c>
      <c r="Y13" s="6">
        <v>0.1</v>
      </c>
    </row>
    <row r="14" spans="1:27" x14ac:dyDescent="0.2">
      <c r="A14" s="2" t="s">
        <v>1835</v>
      </c>
      <c r="B14" t="s">
        <v>293</v>
      </c>
      <c r="C14" t="s">
        <v>2016</v>
      </c>
      <c r="D14" t="s">
        <v>1680</v>
      </c>
      <c r="O14">
        <v>12</v>
      </c>
      <c r="Q14">
        <v>1</v>
      </c>
      <c r="V14">
        <v>5</v>
      </c>
      <c r="W14" s="2" t="s">
        <v>1684</v>
      </c>
      <c r="Y14" s="6">
        <v>0.25</v>
      </c>
    </row>
    <row r="15" spans="1:27" x14ac:dyDescent="0.2">
      <c r="A15" s="2" t="s">
        <v>1845</v>
      </c>
      <c r="B15" t="s">
        <v>293</v>
      </c>
      <c r="C15" t="s">
        <v>1832</v>
      </c>
      <c r="D15" t="s">
        <v>1680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2015</v>
      </c>
      <c r="B16" t="s">
        <v>217</v>
      </c>
      <c r="C16" t="s">
        <v>1840</v>
      </c>
      <c r="D16" t="s">
        <v>1680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1743</v>
      </c>
    </row>
    <row r="17" spans="1:27" x14ac:dyDescent="0.2">
      <c r="A17" s="2" t="s">
        <v>2502</v>
      </c>
      <c r="B17" t="s">
        <v>1668</v>
      </c>
      <c r="C17" t="s">
        <v>2504</v>
      </c>
      <c r="D17" t="s">
        <v>1680</v>
      </c>
      <c r="F17">
        <v>29</v>
      </c>
      <c r="L17">
        <v>3</v>
      </c>
      <c r="Q17">
        <v>1</v>
      </c>
    </row>
    <row r="18" spans="1:27" x14ac:dyDescent="0.2">
      <c r="A18" s="2" t="s">
        <v>2503</v>
      </c>
      <c r="B18" t="s">
        <v>1668</v>
      </c>
      <c r="C18" t="s">
        <v>2505</v>
      </c>
      <c r="D18" t="s">
        <v>1680</v>
      </c>
      <c r="F18">
        <v>29</v>
      </c>
      <c r="L18">
        <v>4</v>
      </c>
      <c r="Q18">
        <v>1</v>
      </c>
    </row>
    <row r="19" spans="1:27" x14ac:dyDescent="0.2">
      <c r="A19" s="2" t="s">
        <v>2653</v>
      </c>
      <c r="B19" t="s">
        <v>1668</v>
      </c>
      <c r="C19" t="s">
        <v>2505</v>
      </c>
      <c r="D19" t="s">
        <v>1680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1668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1687</v>
      </c>
    </row>
    <row r="22" spans="1:27" x14ac:dyDescent="0.2">
      <c r="A22" s="2" t="s">
        <v>1021</v>
      </c>
      <c r="B22" t="s">
        <v>1668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1688</v>
      </c>
    </row>
    <row r="23" spans="1:27" x14ac:dyDescent="0.2">
      <c r="A23" s="2" t="s">
        <v>1022</v>
      </c>
      <c r="B23" t="s">
        <v>1668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1689</v>
      </c>
    </row>
    <row r="24" spans="1:27" x14ac:dyDescent="0.2">
      <c r="A24" s="2" t="s">
        <v>1023</v>
      </c>
      <c r="B24" t="s">
        <v>1668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1668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1668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1668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1690</v>
      </c>
    </row>
    <row r="28" spans="1:27" x14ac:dyDescent="0.2">
      <c r="A28" s="2" t="s">
        <v>1027</v>
      </c>
      <c r="B28" t="s">
        <v>1668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1691</v>
      </c>
    </row>
    <row r="29" spans="1:27" x14ac:dyDescent="0.2">
      <c r="A29" s="2" t="s">
        <v>1028</v>
      </c>
      <c r="B29" t="s">
        <v>1668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1692</v>
      </c>
    </row>
    <row r="30" spans="1:27" x14ac:dyDescent="0.2">
      <c r="A30" s="2" t="s">
        <v>1029</v>
      </c>
      <c r="B30" t="s">
        <v>1668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1693</v>
      </c>
    </row>
    <row r="31" spans="1:27" x14ac:dyDescent="0.2">
      <c r="A31" s="2" t="s">
        <v>1030</v>
      </c>
      <c r="B31" t="s">
        <v>1668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1668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1668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1668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1689</v>
      </c>
    </row>
    <row r="35" spans="1:27" x14ac:dyDescent="0.2">
      <c r="A35" s="2" t="s">
        <v>1034</v>
      </c>
      <c r="B35" t="s">
        <v>1668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1694</v>
      </c>
    </row>
    <row r="36" spans="1:27" x14ac:dyDescent="0.2">
      <c r="A36" s="2" t="s">
        <v>1035</v>
      </c>
      <c r="B36" t="s">
        <v>1668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1668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1668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1695</v>
      </c>
    </row>
    <row r="39" spans="1:27" x14ac:dyDescent="0.2">
      <c r="A39" s="2" t="s">
        <v>1038</v>
      </c>
      <c r="B39" t="s">
        <v>1668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1689</v>
      </c>
    </row>
    <row r="40" spans="1:27" x14ac:dyDescent="0.2">
      <c r="A40" s="2" t="s">
        <v>1039</v>
      </c>
      <c r="B40" t="s">
        <v>1668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1668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1668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1668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1687</v>
      </c>
    </row>
    <row r="44" spans="1:27" x14ac:dyDescent="0.2">
      <c r="A44" s="2" t="s">
        <v>1043</v>
      </c>
      <c r="B44" t="s">
        <v>1668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1687</v>
      </c>
    </row>
    <row r="45" spans="1:27" x14ac:dyDescent="0.2">
      <c r="A45" s="2" t="s">
        <v>1044</v>
      </c>
      <c r="B45" t="s">
        <v>1668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1696</v>
      </c>
    </row>
    <row r="46" spans="1:27" x14ac:dyDescent="0.2">
      <c r="A46" s="2" t="s">
        <v>1045</v>
      </c>
      <c r="B46" t="s">
        <v>1668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1668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1668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1668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1668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1668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1668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1687</v>
      </c>
    </row>
    <row r="53" spans="1:27" x14ac:dyDescent="0.2">
      <c r="A53" s="2" t="s">
        <v>1052</v>
      </c>
      <c r="B53" t="s">
        <v>1668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1668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1668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1668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1697</v>
      </c>
    </row>
    <row r="59" spans="1:27" x14ac:dyDescent="0.2">
      <c r="A59" s="2" t="s">
        <v>1058</v>
      </c>
      <c r="B59" t="s">
        <v>1668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1697</v>
      </c>
    </row>
    <row r="60" spans="1:27" x14ac:dyDescent="0.2">
      <c r="A60" s="2" t="s">
        <v>1059</v>
      </c>
      <c r="B60" t="s">
        <v>1668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1698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1699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1699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1700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1701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1702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1703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1704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1705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1702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1700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1706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1706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1707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1707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1707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1708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1707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1707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1708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1706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1706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1707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1707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1707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1707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1707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1706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1706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1707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1706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1707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1707</v>
      </c>
    </row>
    <row r="94" spans="1:27" x14ac:dyDescent="0.2">
      <c r="A94" s="2" t="s">
        <v>1093</v>
      </c>
      <c r="B94" t="s">
        <v>2236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1706</v>
      </c>
    </row>
    <row r="95" spans="1:27" x14ac:dyDescent="0.2">
      <c r="A95" s="2" t="s">
        <v>1094</v>
      </c>
      <c r="B95" t="s">
        <v>2235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1707</v>
      </c>
    </row>
    <row r="96" spans="1:27" x14ac:dyDescent="0.2">
      <c r="A96" s="2" t="s">
        <v>1095</v>
      </c>
      <c r="B96" t="s">
        <v>2235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1707</v>
      </c>
    </row>
    <row r="97" spans="1:27" x14ac:dyDescent="0.2">
      <c r="A97" s="2" t="s">
        <v>1096</v>
      </c>
      <c r="B97" t="s">
        <v>2235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1707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1709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1710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1681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1681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1711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2235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1707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1693</v>
      </c>
    </row>
    <row r="121" spans="1:27" x14ac:dyDescent="0.2">
      <c r="A121" s="2" t="s">
        <v>1120</v>
      </c>
      <c r="B121" t="s">
        <v>1668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1668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1668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1712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1713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1714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1715</v>
      </c>
    </row>
    <row r="130" spans="1:27" x14ac:dyDescent="0.2">
      <c r="A130" s="2" t="s">
        <v>1129</v>
      </c>
      <c r="B130" t="s">
        <v>1681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1716</v>
      </c>
    </row>
    <row r="137" spans="1:27" x14ac:dyDescent="0.2">
      <c r="A137" s="2" t="s">
        <v>1136</v>
      </c>
      <c r="B137" t="s">
        <v>1668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1668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1668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1668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1668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1668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1668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1698</v>
      </c>
    </row>
    <row r="144" spans="1:27" x14ac:dyDescent="0.2">
      <c r="A144" s="2" t="s">
        <v>1143</v>
      </c>
      <c r="B144" t="s">
        <v>1668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1668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1717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1718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1847</v>
      </c>
      <c r="X148">
        <v>4</v>
      </c>
      <c r="Y148" s="6">
        <v>0.25</v>
      </c>
      <c r="Z148" t="s">
        <v>1719</v>
      </c>
      <c r="AA148" t="s">
        <v>1720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1686</v>
      </c>
      <c r="X149">
        <v>3</v>
      </c>
      <c r="Y149" s="6">
        <v>0.2</v>
      </c>
      <c r="Z149" t="s">
        <v>1721</v>
      </c>
      <c r="AA149" t="s">
        <v>1722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1706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1708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1707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1708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1707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1706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1707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1707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1707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1723</v>
      </c>
    </row>
    <row r="160" spans="1:27" x14ac:dyDescent="0.2">
      <c r="A160" s="2" t="s">
        <v>1159</v>
      </c>
      <c r="B160" t="s">
        <v>2235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1706</v>
      </c>
    </row>
    <row r="161" spans="1:27" x14ac:dyDescent="0.2">
      <c r="A161" s="2" t="s">
        <v>1160</v>
      </c>
      <c r="B161" t="s">
        <v>2235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1706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1707</v>
      </c>
    </row>
    <row r="163" spans="1:27" x14ac:dyDescent="0.2">
      <c r="A163" s="2" t="s">
        <v>1162</v>
      </c>
      <c r="B163" t="s">
        <v>2235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1707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1706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1706</v>
      </c>
    </row>
    <row r="166" spans="1:27" x14ac:dyDescent="0.2">
      <c r="A166" s="2" t="s">
        <v>1165</v>
      </c>
      <c r="B166" t="s">
        <v>1668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1704</v>
      </c>
    </row>
    <row r="175" spans="1:27" x14ac:dyDescent="0.2">
      <c r="A175" s="2" t="s">
        <v>1174</v>
      </c>
      <c r="B175" t="s">
        <v>1668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1724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2235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1707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1668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1725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1668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1689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1668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1726</v>
      </c>
    </row>
    <row r="186" spans="1:27" x14ac:dyDescent="0.2">
      <c r="A186" s="2" t="s">
        <v>1185</v>
      </c>
      <c r="B186" t="s">
        <v>1668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1668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1707</v>
      </c>
    </row>
    <row r="191" spans="1:27" x14ac:dyDescent="0.2">
      <c r="A191" s="2" t="s">
        <v>1190</v>
      </c>
      <c r="B191" t="s">
        <v>1668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1668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1727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1707</v>
      </c>
    </row>
    <row r="196" spans="1:27" x14ac:dyDescent="0.2">
      <c r="A196" s="2" t="s">
        <v>1195</v>
      </c>
      <c r="B196" t="s">
        <v>1668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2235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1707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1728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1707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1707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1707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1706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1706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1707</v>
      </c>
    </row>
    <row r="210" spans="1:27" x14ac:dyDescent="0.2">
      <c r="A210" s="2" t="s">
        <v>1209</v>
      </c>
      <c r="B210" t="s">
        <v>1668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1668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1668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1668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1707</v>
      </c>
    </row>
    <row r="216" spans="1:27" x14ac:dyDescent="0.2">
      <c r="A216" s="2" t="s">
        <v>1215</v>
      </c>
      <c r="B216" t="s">
        <v>2235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1707</v>
      </c>
    </row>
    <row r="217" spans="1:27" x14ac:dyDescent="0.2">
      <c r="A217" s="2" t="s">
        <v>1216</v>
      </c>
      <c r="B217" t="s">
        <v>2235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1707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1729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1730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2159</v>
      </c>
      <c r="X222">
        <v>5</v>
      </c>
      <c r="Y222" s="6">
        <v>0.25</v>
      </c>
      <c r="Z222" t="s">
        <v>1731</v>
      </c>
      <c r="AA222" t="s">
        <v>1732</v>
      </c>
    </row>
    <row r="223" spans="1:27" x14ac:dyDescent="0.2">
      <c r="A223" s="2" t="s">
        <v>1222</v>
      </c>
      <c r="B223" t="s">
        <v>1668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1725</v>
      </c>
    </row>
    <row r="224" spans="1:27" x14ac:dyDescent="0.2">
      <c r="A224" s="2" t="s">
        <v>1223</v>
      </c>
      <c r="B224" t="s">
        <v>1668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1733</v>
      </c>
    </row>
    <row r="225" spans="1:27" x14ac:dyDescent="0.2">
      <c r="A225" s="2" t="s">
        <v>1224</v>
      </c>
      <c r="B225" t="s">
        <v>1668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1707</v>
      </c>
    </row>
    <row r="227" spans="1:27" x14ac:dyDescent="0.2">
      <c r="A227" s="2" t="s">
        <v>1226</v>
      </c>
      <c r="B227" t="s">
        <v>1668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2235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1707</v>
      </c>
    </row>
    <row r="229" spans="1:27" x14ac:dyDescent="0.2">
      <c r="A229" s="2" t="s">
        <v>1228</v>
      </c>
      <c r="B229" t="s">
        <v>1668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1726</v>
      </c>
    </row>
    <row r="230" spans="1:27" x14ac:dyDescent="0.2">
      <c r="A230" s="2" t="s">
        <v>1229</v>
      </c>
      <c r="B230" t="s">
        <v>293</v>
      </c>
      <c r="C230" t="s">
        <v>2559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1708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1707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1734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1735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1736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1707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1707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1707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1707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1707</v>
      </c>
    </row>
    <row r="241" spans="1:27" x14ac:dyDescent="0.2">
      <c r="A241" s="2" t="s">
        <v>1240</v>
      </c>
      <c r="B241" t="s">
        <v>1668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1737</v>
      </c>
    </row>
    <row r="243" spans="1:27" x14ac:dyDescent="0.2">
      <c r="A243" s="2" t="s">
        <v>1242</v>
      </c>
      <c r="B243" t="s">
        <v>1668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1668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1696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1717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1668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1738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1686</v>
      </c>
      <c r="X252">
        <v>3</v>
      </c>
      <c r="Y252" s="6">
        <v>0.2</v>
      </c>
      <c r="Z252" t="s">
        <v>1721</v>
      </c>
      <c r="AA252" t="s">
        <v>1739</v>
      </c>
    </row>
    <row r="253" spans="1:27" x14ac:dyDescent="0.2">
      <c r="A253" s="2" t="s">
        <v>1252</v>
      </c>
      <c r="B253" t="s">
        <v>1668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1740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1707</v>
      </c>
    </row>
    <row r="255" spans="1:27" x14ac:dyDescent="0.2">
      <c r="A255" s="2" t="s">
        <v>1254</v>
      </c>
      <c r="B255" t="s">
        <v>1668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1707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1708</v>
      </c>
    </row>
    <row r="258" spans="1:27" x14ac:dyDescent="0.2">
      <c r="A258" s="2" t="s">
        <v>1257</v>
      </c>
      <c r="B258" t="s">
        <v>1668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2159</v>
      </c>
      <c r="X260">
        <v>5</v>
      </c>
      <c r="Y260" s="6">
        <v>0.1</v>
      </c>
      <c r="Z260" t="s">
        <v>1741</v>
      </c>
      <c r="AA260" t="s">
        <v>1742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1708</v>
      </c>
    </row>
    <row r="262" spans="1:27" x14ac:dyDescent="0.2">
      <c r="A262" s="2" t="s">
        <v>1261</v>
      </c>
      <c r="B262" t="s">
        <v>217</v>
      </c>
      <c r="C262" t="s">
        <v>1840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1743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1707</v>
      </c>
    </row>
    <row r="264" spans="1:27" x14ac:dyDescent="0.2">
      <c r="A264" s="2" t="s">
        <v>1263</v>
      </c>
      <c r="B264" t="s">
        <v>1668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1668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1744</v>
      </c>
      <c r="AA267" t="s">
        <v>1745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1743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1746</v>
      </c>
      <c r="AA269" t="s">
        <v>1747</v>
      </c>
    </row>
    <row r="270" spans="1:27" x14ac:dyDescent="0.2">
      <c r="A270" s="2" t="s">
        <v>1269</v>
      </c>
      <c r="B270" t="s">
        <v>1682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2069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1686</v>
      </c>
      <c r="X271">
        <v>3</v>
      </c>
      <c r="Y271" s="6">
        <v>0.1</v>
      </c>
      <c r="Z271" t="s">
        <v>1748</v>
      </c>
      <c r="AA271" t="s">
        <v>1749</v>
      </c>
    </row>
    <row r="272" spans="1:27" x14ac:dyDescent="0.2">
      <c r="A272" s="2" t="s">
        <v>1271</v>
      </c>
      <c r="B272" t="s">
        <v>1682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1670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1750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1706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1706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1706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1707</v>
      </c>
    </row>
    <row r="279" spans="1:27" x14ac:dyDescent="0.2">
      <c r="A279" s="2" t="s">
        <v>1278</v>
      </c>
      <c r="B279" t="s">
        <v>1668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1707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1668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1751</v>
      </c>
    </row>
    <row r="283" spans="1:27" x14ac:dyDescent="0.2">
      <c r="A283" s="2" t="s">
        <v>1282</v>
      </c>
      <c r="B283" t="s">
        <v>2069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1686</v>
      </c>
      <c r="X283">
        <v>3</v>
      </c>
      <c r="Y283" s="6">
        <v>0.15</v>
      </c>
      <c r="Z283" t="s">
        <v>1752</v>
      </c>
      <c r="AA283" t="s">
        <v>1753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1707</v>
      </c>
    </row>
    <row r="285" spans="1:27" x14ac:dyDescent="0.2">
      <c r="A285" s="2" t="s">
        <v>1284</v>
      </c>
      <c r="B285" t="s">
        <v>2069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1686</v>
      </c>
      <c r="X285">
        <v>3</v>
      </c>
      <c r="Y285" s="6">
        <v>0.05</v>
      </c>
      <c r="Z285" t="s">
        <v>1754</v>
      </c>
      <c r="AA285" t="s">
        <v>1755</v>
      </c>
    </row>
    <row r="286" spans="1:27" x14ac:dyDescent="0.2">
      <c r="A286" s="2" t="s">
        <v>1285</v>
      </c>
      <c r="B286" t="s">
        <v>1668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1726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1668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1668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1756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1706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1707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1706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1734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1708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1707</v>
      </c>
    </row>
    <row r="297" spans="1:27" x14ac:dyDescent="0.2">
      <c r="A297" s="2" t="s">
        <v>1296</v>
      </c>
      <c r="B297" t="s">
        <v>1668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1757</v>
      </c>
    </row>
    <row r="298" spans="1:27" x14ac:dyDescent="0.2">
      <c r="A298" s="2" t="s">
        <v>1297</v>
      </c>
      <c r="B298" t="s">
        <v>1668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1758</v>
      </c>
    </row>
    <row r="299" spans="1:27" x14ac:dyDescent="0.2">
      <c r="A299" s="2" t="s">
        <v>1298</v>
      </c>
      <c r="B299" t="s">
        <v>1668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1668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1695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1710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1759</v>
      </c>
    </row>
    <row r="306" spans="1:27" x14ac:dyDescent="0.2">
      <c r="A306" s="2" t="s">
        <v>1305</v>
      </c>
      <c r="B306" t="s">
        <v>1668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1760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1761</v>
      </c>
    </row>
    <row r="308" spans="1:27" x14ac:dyDescent="0.2">
      <c r="A308" s="2" t="s">
        <v>1307</v>
      </c>
      <c r="B308" t="s">
        <v>1668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1734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1708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1708</v>
      </c>
    </row>
    <row r="314" spans="1:27" x14ac:dyDescent="0.2">
      <c r="A314" s="2" t="s">
        <v>1313</v>
      </c>
      <c r="B314" t="s">
        <v>1668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2235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1762</v>
      </c>
    </row>
    <row r="316" spans="1:27" x14ac:dyDescent="0.2">
      <c r="A316" s="2" t="s">
        <v>1315</v>
      </c>
      <c r="B316" t="s">
        <v>1668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1696</v>
      </c>
    </row>
    <row r="317" spans="1:27" x14ac:dyDescent="0.2">
      <c r="A317" s="2" t="s">
        <v>1316</v>
      </c>
      <c r="B317" t="s">
        <v>1668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1668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1725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1763</v>
      </c>
      <c r="AA319" t="s">
        <v>282</v>
      </c>
    </row>
    <row r="320" spans="1:27" x14ac:dyDescent="0.2">
      <c r="A320" s="2" t="s">
        <v>1319</v>
      </c>
      <c r="B320" t="s">
        <v>1668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1668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1764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1765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1708</v>
      </c>
    </row>
    <row r="325" spans="1:27" x14ac:dyDescent="0.2">
      <c r="A325" s="2" t="s">
        <v>1324</v>
      </c>
      <c r="B325" t="s">
        <v>1668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1696</v>
      </c>
    </row>
    <row r="326" spans="1:27" x14ac:dyDescent="0.2">
      <c r="A326" s="2" t="s">
        <v>1325</v>
      </c>
      <c r="B326" t="s">
        <v>1668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1723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1668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1668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1668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1668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1699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1707</v>
      </c>
    </row>
    <row r="335" spans="1:27" x14ac:dyDescent="0.2">
      <c r="A335" s="2" t="s">
        <v>1334</v>
      </c>
      <c r="B335" t="s">
        <v>1668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1668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2069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1723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1764</v>
      </c>
    </row>
    <row r="340" spans="1:27" x14ac:dyDescent="0.2">
      <c r="A340" s="2" t="s">
        <v>1339</v>
      </c>
      <c r="B340" t="s">
        <v>1668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1668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1766</v>
      </c>
      <c r="AA342" t="s">
        <v>1767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1766</v>
      </c>
      <c r="AA343" t="s">
        <v>1767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1766</v>
      </c>
      <c r="AA344" t="s">
        <v>1767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1766</v>
      </c>
      <c r="AA345" t="s">
        <v>1767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1707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2069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1743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1768</v>
      </c>
    </row>
    <row r="350" spans="1:27" x14ac:dyDescent="0.2">
      <c r="A350" s="2" t="s">
        <v>1349</v>
      </c>
      <c r="B350" t="s">
        <v>1668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1769</v>
      </c>
    </row>
    <row r="351" spans="1:27" x14ac:dyDescent="0.2">
      <c r="A351" s="2" t="s">
        <v>1350</v>
      </c>
      <c r="B351" t="s">
        <v>1682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1734</v>
      </c>
    </row>
    <row r="353" spans="1:27" x14ac:dyDescent="0.2">
      <c r="A353" s="2" t="s">
        <v>1352</v>
      </c>
      <c r="B353" t="s">
        <v>1668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1770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1708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1771</v>
      </c>
      <c r="AA356" t="s">
        <v>1772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1773</v>
      </c>
      <c r="AA357" t="s">
        <v>1774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1723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2154</v>
      </c>
      <c r="X361">
        <v>12</v>
      </c>
      <c r="Y361" s="6">
        <v>-0.1</v>
      </c>
      <c r="Z361" t="s">
        <v>1775</v>
      </c>
      <c r="AA361" t="s">
        <v>1776</v>
      </c>
    </row>
    <row r="362" spans="1:27" x14ac:dyDescent="0.2">
      <c r="A362" s="2" t="s">
        <v>1361</v>
      </c>
      <c r="B362" t="s">
        <v>1668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1668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1707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1777</v>
      </c>
      <c r="AA366" t="s">
        <v>1778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1779</v>
      </c>
      <c r="AA367" t="s">
        <v>1780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1668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1781</v>
      </c>
    </row>
    <row r="370" spans="1:27" x14ac:dyDescent="0.2">
      <c r="A370" s="2" t="s">
        <v>1369</v>
      </c>
      <c r="B370" t="s">
        <v>1668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2154</v>
      </c>
      <c r="X372">
        <v>12</v>
      </c>
      <c r="Y372" s="6">
        <v>-0.1</v>
      </c>
      <c r="Z372" t="s">
        <v>1775</v>
      </c>
      <c r="AA372" t="s">
        <v>2342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1782</v>
      </c>
      <c r="AA373" t="s">
        <v>1783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1668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1705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1707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1764</v>
      </c>
    </row>
    <row r="380" spans="1:27" x14ac:dyDescent="0.2">
      <c r="A380" s="2" t="s">
        <v>1379</v>
      </c>
      <c r="B380" t="s">
        <v>2235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1706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1706</v>
      </c>
    </row>
    <row r="382" spans="1:27" x14ac:dyDescent="0.2">
      <c r="A382" s="2" t="s">
        <v>1381</v>
      </c>
      <c r="B382" t="s">
        <v>1668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1686</v>
      </c>
      <c r="X383">
        <v>3</v>
      </c>
      <c r="Y383" s="6">
        <v>0.25</v>
      </c>
      <c r="Z383" t="s">
        <v>1784</v>
      </c>
      <c r="AA383" t="s">
        <v>1785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1707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1707</v>
      </c>
    </row>
    <row r="386" spans="1:27" x14ac:dyDescent="0.2">
      <c r="A386" s="2" t="s">
        <v>1385</v>
      </c>
      <c r="B386" t="s">
        <v>1668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1782</v>
      </c>
      <c r="AA387" t="s">
        <v>1786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1708</v>
      </c>
    </row>
    <row r="389" spans="1:27" x14ac:dyDescent="0.2">
      <c r="A389" s="2" t="s">
        <v>1388</v>
      </c>
      <c r="B389" t="s">
        <v>2069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1686</v>
      </c>
      <c r="X389">
        <v>3</v>
      </c>
      <c r="Y389" s="6">
        <v>0.1</v>
      </c>
      <c r="Z389" t="s">
        <v>1748</v>
      </c>
      <c r="AA389" t="s">
        <v>1787</v>
      </c>
    </row>
    <row r="390" spans="1:27" x14ac:dyDescent="0.2">
      <c r="A390" s="2" t="s">
        <v>1389</v>
      </c>
      <c r="B390" t="s">
        <v>1668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1696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2155</v>
      </c>
      <c r="X391">
        <v>12</v>
      </c>
      <c r="Y391" s="6">
        <v>-0.05</v>
      </c>
      <c r="Z391" t="s">
        <v>1788</v>
      </c>
      <c r="AA391" t="s">
        <v>1789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1668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1700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1708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1790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1734</v>
      </c>
    </row>
    <row r="398" spans="1:27" x14ac:dyDescent="0.2">
      <c r="A398" s="2" t="s">
        <v>1397</v>
      </c>
      <c r="B398" t="s">
        <v>2235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1706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1668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1791</v>
      </c>
    </row>
    <row r="403" spans="1:27" x14ac:dyDescent="0.2">
      <c r="A403" s="2" t="s">
        <v>1402</v>
      </c>
      <c r="B403" t="s">
        <v>1668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1668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1792</v>
      </c>
    </row>
    <row r="405" spans="1:27" x14ac:dyDescent="0.2">
      <c r="A405" s="2" t="s">
        <v>1404</v>
      </c>
      <c r="B405" t="s">
        <v>1668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1793</v>
      </c>
      <c r="AA406" t="s">
        <v>1794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1723</v>
      </c>
    </row>
    <row r="410" spans="1:27" x14ac:dyDescent="0.2">
      <c r="A410" s="2" t="s">
        <v>1409</v>
      </c>
      <c r="B410" t="s">
        <v>1670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1795</v>
      </c>
    </row>
    <row r="411" spans="1:27" x14ac:dyDescent="0.2">
      <c r="A411" s="2" t="s">
        <v>1410</v>
      </c>
      <c r="B411" t="s">
        <v>1668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1668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1707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1734</v>
      </c>
    </row>
    <row r="415" spans="1:27" x14ac:dyDescent="0.2">
      <c r="A415" s="2" t="s">
        <v>1414</v>
      </c>
      <c r="B415" t="s">
        <v>1668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2160</v>
      </c>
      <c r="X416">
        <v>5</v>
      </c>
      <c r="Y416" s="6">
        <v>0.2</v>
      </c>
      <c r="Z416" t="s">
        <v>1796</v>
      </c>
      <c r="AA416" t="s">
        <v>1797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1707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1704</v>
      </c>
    </row>
    <row r="421" spans="1:27" x14ac:dyDescent="0.2">
      <c r="A421" s="2" t="s">
        <v>1420</v>
      </c>
      <c r="B421" t="s">
        <v>1668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1798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1686</v>
      </c>
      <c r="X422">
        <v>3</v>
      </c>
      <c r="Y422" s="6">
        <v>0.15</v>
      </c>
      <c r="Z422" t="s">
        <v>1752</v>
      </c>
      <c r="AA422" t="s">
        <v>1799</v>
      </c>
    </row>
    <row r="423" spans="1:27" x14ac:dyDescent="0.2">
      <c r="A423" s="2" t="s">
        <v>1422</v>
      </c>
      <c r="B423" t="s">
        <v>1668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1696</v>
      </c>
    </row>
    <row r="424" spans="1:27" x14ac:dyDescent="0.2">
      <c r="A424" s="2" t="s">
        <v>1423</v>
      </c>
      <c r="B424" t="s">
        <v>1670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1800</v>
      </c>
    </row>
    <row r="425" spans="1:27" x14ac:dyDescent="0.2">
      <c r="A425" s="2" t="s">
        <v>1424</v>
      </c>
      <c r="B425" t="s">
        <v>1682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1670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1801</v>
      </c>
    </row>
    <row r="427" spans="1:27" x14ac:dyDescent="0.2">
      <c r="A427" s="2" t="s">
        <v>1426</v>
      </c>
      <c r="B427" t="s">
        <v>1682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1802</v>
      </c>
    </row>
    <row r="429" spans="1:27" x14ac:dyDescent="0.2">
      <c r="A429" s="2" t="s">
        <v>1428</v>
      </c>
      <c r="B429" t="s">
        <v>1670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1803</v>
      </c>
    </row>
    <row r="430" spans="1:27" x14ac:dyDescent="0.2">
      <c r="A430" s="2" t="s">
        <v>1429</v>
      </c>
      <c r="B430" t="s">
        <v>1668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1847</v>
      </c>
      <c r="X430">
        <v>4</v>
      </c>
      <c r="Y430" s="6">
        <v>0.1</v>
      </c>
      <c r="Z430" t="s">
        <v>1763</v>
      </c>
      <c r="AA430" t="s">
        <v>1804</v>
      </c>
    </row>
    <row r="431" spans="1:27" x14ac:dyDescent="0.2">
      <c r="A431" s="2" t="s">
        <v>1430</v>
      </c>
      <c r="B431" t="s">
        <v>1668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2069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1686</v>
      </c>
      <c r="X432">
        <v>3</v>
      </c>
      <c r="Y432" s="6">
        <v>0.1</v>
      </c>
      <c r="Z432" t="s">
        <v>1748</v>
      </c>
      <c r="AA432" t="s">
        <v>1749</v>
      </c>
    </row>
    <row r="433" spans="1:27" x14ac:dyDescent="0.2">
      <c r="A433" s="2" t="s">
        <v>1432</v>
      </c>
      <c r="B433" t="s">
        <v>1682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2235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1706</v>
      </c>
    </row>
    <row r="436" spans="1:27" x14ac:dyDescent="0.2">
      <c r="A436" s="2" t="s">
        <v>1435</v>
      </c>
      <c r="B436" t="s">
        <v>1668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1708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1708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1708</v>
      </c>
    </row>
    <row r="440" spans="1:27" x14ac:dyDescent="0.2">
      <c r="A440" s="2" t="s">
        <v>1439</v>
      </c>
      <c r="B440" t="s">
        <v>1668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1777</v>
      </c>
      <c r="AA440" t="s">
        <v>1805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1706</v>
      </c>
    </row>
    <row r="442" spans="1:27" x14ac:dyDescent="0.2">
      <c r="A442" s="2" t="s">
        <v>1441</v>
      </c>
      <c r="B442" t="s">
        <v>1668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1806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1708</v>
      </c>
    </row>
    <row r="444" spans="1:27" x14ac:dyDescent="0.2">
      <c r="A444" s="2" t="s">
        <v>1443</v>
      </c>
      <c r="B444" t="s">
        <v>1670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1807</v>
      </c>
    </row>
    <row r="445" spans="1:27" x14ac:dyDescent="0.2">
      <c r="A445" s="2" t="s">
        <v>1444</v>
      </c>
      <c r="B445" t="s">
        <v>1682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2427</v>
      </c>
      <c r="X446" t="s">
        <v>282</v>
      </c>
      <c r="Z446" t="s">
        <v>282</v>
      </c>
      <c r="AA446" t="s">
        <v>2428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1708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1779</v>
      </c>
      <c r="AA448" t="s">
        <v>1780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1668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1734</v>
      </c>
    </row>
    <row r="452" spans="1:27" x14ac:dyDescent="0.2">
      <c r="A452" s="2" t="s">
        <v>1451</v>
      </c>
      <c r="B452" t="s">
        <v>1668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1670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1808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1668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1809</v>
      </c>
    </row>
    <row r="457" spans="1:27" x14ac:dyDescent="0.2">
      <c r="A457" s="2" t="s">
        <v>1456</v>
      </c>
      <c r="B457" t="s">
        <v>1668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2156</v>
      </c>
      <c r="X458">
        <v>12</v>
      </c>
      <c r="Y458" s="6">
        <v>-0.15</v>
      </c>
      <c r="Z458" t="s">
        <v>1810</v>
      </c>
      <c r="AA458" t="s">
        <v>1811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1706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1707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1668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1812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1734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1707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1782</v>
      </c>
      <c r="AA466" t="s">
        <v>1786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1668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2235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1706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1668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1696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1782</v>
      </c>
      <c r="AA472" t="s">
        <v>1786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1668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1813</v>
      </c>
    </row>
    <row r="475" spans="1:27" x14ac:dyDescent="0.2">
      <c r="A475" s="2" t="s">
        <v>1474</v>
      </c>
      <c r="B475" t="s">
        <v>1668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1814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1717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1708</v>
      </c>
    </row>
    <row r="479" spans="1:27" x14ac:dyDescent="0.2">
      <c r="A479" s="2" t="s">
        <v>1478</v>
      </c>
      <c r="B479" t="s">
        <v>1670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1815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1668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1806</v>
      </c>
    </row>
    <row r="482" spans="1:27" x14ac:dyDescent="0.2">
      <c r="A482" s="2" t="s">
        <v>1481</v>
      </c>
      <c r="B482" t="s">
        <v>1668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1707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1707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1668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1705</v>
      </c>
    </row>
    <row r="487" spans="1:27" x14ac:dyDescent="0.2">
      <c r="A487" s="2" t="s">
        <v>1486</v>
      </c>
      <c r="B487" t="s">
        <v>1668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1696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1708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1668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1793</v>
      </c>
      <c r="AA493" t="s">
        <v>1816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1668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1668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1696</v>
      </c>
    </row>
    <row r="497" spans="1:27" x14ac:dyDescent="0.2">
      <c r="A497" s="2" t="s">
        <v>1496</v>
      </c>
      <c r="B497" t="s">
        <v>1668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1696</v>
      </c>
    </row>
    <row r="498" spans="1:27" x14ac:dyDescent="0.2">
      <c r="A498" s="2" t="s">
        <v>1497</v>
      </c>
      <c r="B498" t="s">
        <v>1668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1782</v>
      </c>
      <c r="AA498" t="s">
        <v>1783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2157</v>
      </c>
      <c r="X499">
        <v>12</v>
      </c>
      <c r="Y499" s="6">
        <v>-0.05</v>
      </c>
      <c r="Z499" t="s">
        <v>1788</v>
      </c>
      <c r="AA499" t="s">
        <v>1817</v>
      </c>
    </row>
    <row r="500" spans="1:27" x14ac:dyDescent="0.2">
      <c r="A500" s="2" t="s">
        <v>1499</v>
      </c>
      <c r="B500" t="s">
        <v>1668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1668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1668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1668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1818</v>
      </c>
    </row>
    <row r="507" spans="1:27" x14ac:dyDescent="0.2">
      <c r="A507" s="2" t="s">
        <v>1506</v>
      </c>
      <c r="B507" t="s">
        <v>1670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1819</v>
      </c>
    </row>
    <row r="508" spans="1:27" x14ac:dyDescent="0.2">
      <c r="A508" s="2" t="s">
        <v>1507</v>
      </c>
      <c r="B508" t="s">
        <v>1668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1734</v>
      </c>
    </row>
    <row r="510" spans="1:27" x14ac:dyDescent="0.2">
      <c r="A510" s="2" t="s">
        <v>1509</v>
      </c>
      <c r="B510" t="s">
        <v>1668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1668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1769</v>
      </c>
    </row>
    <row r="512" spans="1:27" x14ac:dyDescent="0.2">
      <c r="A512" s="2" t="s">
        <v>1511</v>
      </c>
      <c r="B512" t="s">
        <v>1668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1696</v>
      </c>
    </row>
    <row r="513" spans="1:27" x14ac:dyDescent="0.2">
      <c r="A513" s="2" t="s">
        <v>1512</v>
      </c>
      <c r="B513" t="s">
        <v>1668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1668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1791</v>
      </c>
    </row>
    <row r="516" spans="1:27" x14ac:dyDescent="0.2">
      <c r="A516" s="2" t="s">
        <v>1515</v>
      </c>
      <c r="B516" t="s">
        <v>1681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1682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2069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1743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1707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1700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1820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2158</v>
      </c>
      <c r="X523">
        <v>12</v>
      </c>
      <c r="Y523" s="6">
        <v>-0.15</v>
      </c>
      <c r="Z523" t="s">
        <v>1810</v>
      </c>
      <c r="AA523" t="s">
        <v>1821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1734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1743</v>
      </c>
    </row>
    <row r="526" spans="1:27" x14ac:dyDescent="0.2">
      <c r="A526" s="2" t="s">
        <v>1525</v>
      </c>
      <c r="B526" t="s">
        <v>1668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1668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1696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1686</v>
      </c>
      <c r="X528">
        <v>3</v>
      </c>
      <c r="Y528" s="6">
        <v>0.25</v>
      </c>
      <c r="Z528" t="s">
        <v>1784</v>
      </c>
      <c r="AA528" t="s">
        <v>1785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1734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1668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1704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1707</v>
      </c>
    </row>
    <row r="535" spans="1:27" x14ac:dyDescent="0.2">
      <c r="A535" s="2" t="s">
        <v>1534</v>
      </c>
      <c r="B535" t="s">
        <v>1668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1696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1822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1798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1847</v>
      </c>
      <c r="X538">
        <v>4</v>
      </c>
      <c r="Y538" s="6">
        <v>0.25</v>
      </c>
      <c r="Z538" t="s">
        <v>1719</v>
      </c>
      <c r="AA538" t="s">
        <v>1720</v>
      </c>
    </row>
    <row r="539" spans="1:27" x14ac:dyDescent="0.2">
      <c r="A539" s="2" t="s">
        <v>1538</v>
      </c>
      <c r="B539" t="s">
        <v>295</v>
      </c>
      <c r="C539" t="s">
        <v>2341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1823</v>
      </c>
    </row>
    <row r="540" spans="1:27" x14ac:dyDescent="0.2">
      <c r="A540" s="2" t="s">
        <v>1539</v>
      </c>
      <c r="B540" t="s">
        <v>1668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1707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1708</v>
      </c>
    </row>
    <row r="543" spans="1:27" x14ac:dyDescent="0.2">
      <c r="A543" s="2" t="s">
        <v>1542</v>
      </c>
      <c r="B543" t="s">
        <v>1682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1824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1668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1696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1825</v>
      </c>
    </row>
    <row r="547" spans="1:27" x14ac:dyDescent="0.2">
      <c r="A547" s="2" t="s">
        <v>1546</v>
      </c>
      <c r="B547" t="s">
        <v>1682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1668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1668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1708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1668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1668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2161</v>
      </c>
      <c r="B555" t="s">
        <v>490</v>
      </c>
      <c r="C555" t="s">
        <v>2162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2119</v>
      </c>
      <c r="B556" t="s">
        <v>485</v>
      </c>
      <c r="C556" t="s">
        <v>2120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2084</v>
      </c>
      <c r="B557" t="s">
        <v>1668</v>
      </c>
      <c r="C557" t="s">
        <v>2083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2114</v>
      </c>
      <c r="B558" t="s">
        <v>1668</v>
      </c>
      <c r="C558" t="s">
        <v>2113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2086</v>
      </c>
      <c r="B559" t="s">
        <v>1668</v>
      </c>
      <c r="C559" t="s">
        <v>2085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2088</v>
      </c>
      <c r="B560" t="s">
        <v>1682</v>
      </c>
      <c r="C560" t="s">
        <v>2087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2090</v>
      </c>
      <c r="B561" t="s">
        <v>1668</v>
      </c>
      <c r="C561" t="s">
        <v>2089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2111</v>
      </c>
      <c r="B562" t="s">
        <v>485</v>
      </c>
      <c r="C562" t="s">
        <v>2112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2092</v>
      </c>
      <c r="B563" t="s">
        <v>1668</v>
      </c>
      <c r="C563" t="s">
        <v>2091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2093</v>
      </c>
      <c r="B564" t="s">
        <v>217</v>
      </c>
      <c r="C564" t="s">
        <v>1831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2116</v>
      </c>
      <c r="B565" t="s">
        <v>1668</v>
      </c>
      <c r="C565" t="s">
        <v>2115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2095</v>
      </c>
      <c r="B566" t="s">
        <v>1670</v>
      </c>
      <c r="C566" t="s">
        <v>2094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2097</v>
      </c>
      <c r="B567" t="s">
        <v>1668</v>
      </c>
      <c r="C567" t="s">
        <v>2096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2099</v>
      </c>
      <c r="B568" t="s">
        <v>1682</v>
      </c>
      <c r="C568" t="s">
        <v>2098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2163</v>
      </c>
      <c r="B569" t="s">
        <v>293</v>
      </c>
      <c r="C569" t="s">
        <v>2164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2165</v>
      </c>
      <c r="Y569" s="6">
        <v>0.1</v>
      </c>
    </row>
    <row r="570" spans="1:27" x14ac:dyDescent="0.2">
      <c r="A570" s="2" t="s">
        <v>2166</v>
      </c>
      <c r="B570" t="s">
        <v>2069</v>
      </c>
      <c r="C570" t="s">
        <v>2168</v>
      </c>
      <c r="D570" s="5" t="s">
        <v>2101</v>
      </c>
      <c r="F570">
        <v>22</v>
      </c>
      <c r="Q570">
        <v>1</v>
      </c>
      <c r="S570">
        <v>22</v>
      </c>
      <c r="V570">
        <v>10</v>
      </c>
      <c r="W570" s="2" t="s">
        <v>2170</v>
      </c>
      <c r="AA570" t="s">
        <v>2172</v>
      </c>
    </row>
    <row r="571" spans="1:27" x14ac:dyDescent="0.2">
      <c r="A571" s="2" t="s">
        <v>2167</v>
      </c>
      <c r="B571" t="s">
        <v>1682</v>
      </c>
      <c r="C571" t="s">
        <v>2169</v>
      </c>
      <c r="D571" s="5" t="s">
        <v>1555</v>
      </c>
      <c r="F571">
        <v>3</v>
      </c>
      <c r="K571">
        <v>2</v>
      </c>
      <c r="Q571">
        <v>1</v>
      </c>
      <c r="W571" s="2" t="s">
        <v>2171</v>
      </c>
      <c r="AA571" t="s">
        <v>2173</v>
      </c>
    </row>
    <row r="572" spans="1:27" x14ac:dyDescent="0.2">
      <c r="A572" s="2" t="s">
        <v>2102</v>
      </c>
      <c r="B572" t="s">
        <v>2069</v>
      </c>
      <c r="C572" t="s">
        <v>2100</v>
      </c>
      <c r="D572" s="5" t="s">
        <v>2101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2104</v>
      </c>
      <c r="B573" t="s">
        <v>1682</v>
      </c>
      <c r="C573" t="s">
        <v>2103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2118</v>
      </c>
      <c r="B574" t="s">
        <v>1668</v>
      </c>
      <c r="C574" t="s">
        <v>2117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2174</v>
      </c>
      <c r="B575" t="s">
        <v>485</v>
      </c>
      <c r="C575" t="s">
        <v>2175</v>
      </c>
      <c r="D575" s="5" t="s">
        <v>268</v>
      </c>
      <c r="G575">
        <v>12</v>
      </c>
      <c r="Q575">
        <v>1</v>
      </c>
      <c r="W575" s="2" t="s">
        <v>2176</v>
      </c>
      <c r="AA575" s="28" t="s">
        <v>2177</v>
      </c>
    </row>
    <row r="576" spans="1:27" x14ac:dyDescent="0.2">
      <c r="A576" s="2" t="s">
        <v>2178</v>
      </c>
      <c r="B576" t="s">
        <v>293</v>
      </c>
      <c r="C576" t="s">
        <v>2016</v>
      </c>
      <c r="D576" s="5" t="s">
        <v>286</v>
      </c>
      <c r="O576">
        <v>12</v>
      </c>
      <c r="Q576">
        <v>1</v>
      </c>
      <c r="V576">
        <v>5</v>
      </c>
      <c r="W576" s="2" t="s">
        <v>1684</v>
      </c>
      <c r="Y576" s="6">
        <v>0.25</v>
      </c>
    </row>
    <row r="577" spans="1:27" x14ac:dyDescent="0.2">
      <c r="A577" s="2" t="s">
        <v>2646</v>
      </c>
      <c r="B577" t="s">
        <v>303</v>
      </c>
      <c r="C577" t="s">
        <v>2600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2647</v>
      </c>
      <c r="Y577"/>
      <c r="AA577" t="s">
        <v>2648</v>
      </c>
    </row>
    <row r="578" spans="1:27" x14ac:dyDescent="0.2">
      <c r="A578" s="2" t="s">
        <v>2106</v>
      </c>
      <c r="B578" t="s">
        <v>295</v>
      </c>
      <c r="C578" t="s">
        <v>2105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2179</v>
      </c>
      <c r="B579" t="s">
        <v>295</v>
      </c>
      <c r="C579" t="s">
        <v>2180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2181</v>
      </c>
      <c r="Y579" s="6" t="s">
        <v>2182</v>
      </c>
      <c r="AA579" s="28" t="s">
        <v>2183</v>
      </c>
    </row>
    <row r="580" spans="1:27" x14ac:dyDescent="0.2">
      <c r="A580" s="2" t="s">
        <v>2184</v>
      </c>
      <c r="B580" t="s">
        <v>485</v>
      </c>
      <c r="C580" t="s">
        <v>2185</v>
      </c>
      <c r="D580" s="5" t="s">
        <v>268</v>
      </c>
      <c r="G580">
        <v>6</v>
      </c>
      <c r="M580">
        <v>2</v>
      </c>
      <c r="Q580">
        <v>1</v>
      </c>
      <c r="W580" s="2" t="s">
        <v>2186</v>
      </c>
      <c r="AA580" s="28" t="s">
        <v>2187</v>
      </c>
    </row>
    <row r="581" spans="1:27" x14ac:dyDescent="0.2">
      <c r="A581" s="2" t="s">
        <v>2108</v>
      </c>
      <c r="B581" t="s">
        <v>1668</v>
      </c>
      <c r="C581" t="s">
        <v>2107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2110</v>
      </c>
      <c r="B582" t="s">
        <v>294</v>
      </c>
      <c r="C582" t="s">
        <v>2109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2191</v>
      </c>
      <c r="B583" t="s">
        <v>293</v>
      </c>
      <c r="C583" t="s">
        <v>2192</v>
      </c>
      <c r="D583" s="5" t="s">
        <v>286</v>
      </c>
      <c r="O583">
        <v>20</v>
      </c>
      <c r="Q583">
        <v>1</v>
      </c>
      <c r="V583">
        <v>14</v>
      </c>
      <c r="W583" s="2" t="s">
        <v>2193</v>
      </c>
      <c r="AA583" s="28" t="s">
        <v>2195</v>
      </c>
    </row>
    <row r="584" spans="1:27" x14ac:dyDescent="0.2">
      <c r="A584" s="2" t="s">
        <v>2188</v>
      </c>
      <c r="B584" t="s">
        <v>490</v>
      </c>
      <c r="C584" t="s">
        <v>2189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2190</v>
      </c>
      <c r="Y584" s="6">
        <v>0.25</v>
      </c>
      <c r="AA584" s="28" t="s">
        <v>2196</v>
      </c>
    </row>
    <row r="585" spans="1:27" x14ac:dyDescent="0.2">
      <c r="A585" s="2" t="s">
        <v>2197</v>
      </c>
      <c r="B585" t="s">
        <v>295</v>
      </c>
      <c r="C585" t="s">
        <v>2198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2199</v>
      </c>
      <c r="Y585" s="6" t="s">
        <v>2201</v>
      </c>
      <c r="AA585" s="28" t="s">
        <v>2200</v>
      </c>
    </row>
    <row r="586" spans="1:27" x14ac:dyDescent="0.2">
      <c r="A586" s="2" t="s">
        <v>2202</v>
      </c>
      <c r="B586" t="s">
        <v>1668</v>
      </c>
      <c r="C586" t="s">
        <v>2203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2204</v>
      </c>
      <c r="B587" t="s">
        <v>217</v>
      </c>
      <c r="C587" t="s">
        <v>2205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2206</v>
      </c>
      <c r="AA587" t="s">
        <v>2194</v>
      </c>
    </row>
    <row r="588" spans="1:27" x14ac:dyDescent="0.2">
      <c r="A588" s="2" t="s">
        <v>2207</v>
      </c>
      <c r="B588" t="s">
        <v>1668</v>
      </c>
      <c r="C588" t="s">
        <v>2208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2209</v>
      </c>
      <c r="B589" t="s">
        <v>217</v>
      </c>
      <c r="C589" t="s">
        <v>2211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2212</v>
      </c>
      <c r="AA589" s="28" t="s">
        <v>2213</v>
      </c>
    </row>
    <row r="590" spans="1:27" x14ac:dyDescent="0.2">
      <c r="A590" s="2" t="s">
        <v>2210</v>
      </c>
      <c r="B590" t="s">
        <v>1668</v>
      </c>
      <c r="C590" t="s">
        <v>2214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2215</v>
      </c>
      <c r="B591" t="s">
        <v>1668</v>
      </c>
      <c r="C591" t="s">
        <v>2218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2216</v>
      </c>
      <c r="AA591" s="28" t="s">
        <v>2217</v>
      </c>
    </row>
    <row r="592" spans="1:27" x14ac:dyDescent="0.2">
      <c r="A592" s="2" t="s">
        <v>2256</v>
      </c>
      <c r="B592" t="s">
        <v>303</v>
      </c>
      <c r="C592" t="s">
        <v>2264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1684</v>
      </c>
      <c r="Y592" s="6">
        <v>0.25</v>
      </c>
    </row>
    <row r="593" spans="1:27" x14ac:dyDescent="0.2">
      <c r="A593" s="2" t="s">
        <v>2257</v>
      </c>
      <c r="B593" t="s">
        <v>294</v>
      </c>
      <c r="C593" t="s">
        <v>2265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2258</v>
      </c>
      <c r="B594" t="s">
        <v>1668</v>
      </c>
      <c r="C594" t="s">
        <v>2266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2259</v>
      </c>
      <c r="B595" t="s">
        <v>1668</v>
      </c>
      <c r="C595" t="s">
        <v>2267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2260</v>
      </c>
      <c r="B596" t="s">
        <v>2654</v>
      </c>
      <c r="C596" t="s">
        <v>2268</v>
      </c>
      <c r="D596" s="5" t="s">
        <v>2655</v>
      </c>
      <c r="F596">
        <v>25</v>
      </c>
      <c r="Q596">
        <v>1</v>
      </c>
      <c r="S596">
        <v>22</v>
      </c>
      <c r="V596">
        <v>12</v>
      </c>
      <c r="W596" s="2" t="s">
        <v>2271</v>
      </c>
      <c r="AA596" t="s">
        <v>2272</v>
      </c>
    </row>
    <row r="597" spans="1:27" x14ac:dyDescent="0.2">
      <c r="A597" s="2" t="s">
        <v>2261</v>
      </c>
      <c r="B597" t="s">
        <v>1682</v>
      </c>
      <c r="C597" t="s">
        <v>2269</v>
      </c>
      <c r="D597" s="5" t="s">
        <v>1555</v>
      </c>
      <c r="F597">
        <v>4</v>
      </c>
      <c r="K597">
        <v>2</v>
      </c>
      <c r="Q597">
        <v>1</v>
      </c>
      <c r="W597" s="2" t="s">
        <v>2270</v>
      </c>
      <c r="AA597" t="s">
        <v>2273</v>
      </c>
    </row>
    <row r="598" spans="1:27" x14ac:dyDescent="0.2">
      <c r="A598" s="2" t="s">
        <v>2262</v>
      </c>
      <c r="B598" t="s">
        <v>217</v>
      </c>
      <c r="C598" t="s">
        <v>2274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2263</v>
      </c>
      <c r="B599" t="s">
        <v>1668</v>
      </c>
      <c r="C599" t="s">
        <v>2275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2276</v>
      </c>
      <c r="B600" t="s">
        <v>1668</v>
      </c>
      <c r="C600" t="s">
        <v>2277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2324</v>
      </c>
      <c r="B601" t="s">
        <v>303</v>
      </c>
      <c r="C601" t="s">
        <v>2325</v>
      </c>
      <c r="D601" s="5" t="s">
        <v>2326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2327</v>
      </c>
      <c r="AA601" t="s">
        <v>2328</v>
      </c>
    </row>
    <row r="602" spans="1:27" x14ac:dyDescent="0.2">
      <c r="A602" s="2" t="s">
        <v>2340</v>
      </c>
      <c r="B602" t="s">
        <v>1670</v>
      </c>
      <c r="C602" t="s">
        <v>2329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2330</v>
      </c>
      <c r="AA602" t="s">
        <v>2331</v>
      </c>
    </row>
    <row r="603" spans="1:27" x14ac:dyDescent="0.2">
      <c r="A603" s="2" t="s">
        <v>2332</v>
      </c>
      <c r="B603" t="s">
        <v>1668</v>
      </c>
      <c r="C603" t="s">
        <v>2333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2334</v>
      </c>
      <c r="B604" t="s">
        <v>293</v>
      </c>
      <c r="C604" t="s">
        <v>2335</v>
      </c>
      <c r="D604" s="5" t="s">
        <v>2336</v>
      </c>
      <c r="K604">
        <v>2</v>
      </c>
      <c r="O604">
        <v>13</v>
      </c>
      <c r="Q604">
        <v>1</v>
      </c>
      <c r="V604">
        <v>5</v>
      </c>
      <c r="W604" s="2" t="s">
        <v>1684</v>
      </c>
      <c r="Y604" s="6">
        <v>0.25</v>
      </c>
    </row>
    <row r="605" spans="1:27" x14ac:dyDescent="0.2">
      <c r="A605" s="2" t="s">
        <v>2343</v>
      </c>
      <c r="B605" t="s">
        <v>217</v>
      </c>
      <c r="C605" t="s">
        <v>2344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2154</v>
      </c>
      <c r="Y605" s="6">
        <v>-0.15</v>
      </c>
      <c r="AA605" t="s">
        <v>2478</v>
      </c>
    </row>
    <row r="606" spans="1:27" x14ac:dyDescent="0.2">
      <c r="A606" s="2" t="s">
        <v>2337</v>
      </c>
      <c r="B606" t="s">
        <v>293</v>
      </c>
      <c r="C606" t="s">
        <v>2338</v>
      </c>
      <c r="D606" s="5" t="s">
        <v>2336</v>
      </c>
      <c r="O606">
        <v>12</v>
      </c>
      <c r="P606">
        <v>9</v>
      </c>
      <c r="Q606">
        <v>1</v>
      </c>
      <c r="V606">
        <v>6</v>
      </c>
      <c r="W606" s="2" t="s">
        <v>2159</v>
      </c>
      <c r="Y606" s="6">
        <v>0.15</v>
      </c>
      <c r="AA606" t="s">
        <v>2339</v>
      </c>
    </row>
    <row r="607" spans="1:27" x14ac:dyDescent="0.2">
      <c r="A607" s="2" t="s">
        <v>2345</v>
      </c>
      <c r="B607" t="s">
        <v>1670</v>
      </c>
      <c r="C607" t="s">
        <v>2346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2347</v>
      </c>
      <c r="AA607" t="s">
        <v>2348</v>
      </c>
    </row>
    <row r="608" spans="1:27" x14ac:dyDescent="0.2">
      <c r="A608" s="2" t="s">
        <v>2349</v>
      </c>
      <c r="B608" t="s">
        <v>1682</v>
      </c>
      <c r="C608" t="s">
        <v>2351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2352</v>
      </c>
      <c r="AA608" t="s">
        <v>2353</v>
      </c>
    </row>
    <row r="609" spans="1:27" x14ac:dyDescent="0.2">
      <c r="A609" s="2" t="s">
        <v>2350</v>
      </c>
      <c r="B609" t="s">
        <v>293</v>
      </c>
      <c r="C609" t="s">
        <v>2354</v>
      </c>
      <c r="D609" s="5" t="s">
        <v>2336</v>
      </c>
      <c r="O609">
        <v>13</v>
      </c>
      <c r="P609">
        <v>8</v>
      </c>
      <c r="Q609">
        <v>1</v>
      </c>
      <c r="V609">
        <v>6</v>
      </c>
      <c r="W609" s="2" t="s">
        <v>2159</v>
      </c>
      <c r="Y609" s="6">
        <v>0.1</v>
      </c>
      <c r="AA609" t="s">
        <v>2355</v>
      </c>
    </row>
    <row r="610" spans="1:27" x14ac:dyDescent="0.2">
      <c r="A610" s="2" t="s">
        <v>2397</v>
      </c>
      <c r="B610" t="s">
        <v>295</v>
      </c>
      <c r="C610" t="s">
        <v>2398</v>
      </c>
      <c r="D610" s="5" t="s">
        <v>2399</v>
      </c>
      <c r="J610">
        <v>6</v>
      </c>
      <c r="K610">
        <v>9</v>
      </c>
      <c r="P610">
        <v>5</v>
      </c>
      <c r="Q610">
        <v>1</v>
      </c>
      <c r="W610" s="2" t="s">
        <v>2400</v>
      </c>
      <c r="Y610" s="6">
        <v>0.05</v>
      </c>
      <c r="AA610" s="28" t="s">
        <v>2401</v>
      </c>
    </row>
    <row r="611" spans="1:27" x14ac:dyDescent="0.2">
      <c r="A611" s="2" t="s">
        <v>2402</v>
      </c>
      <c r="B611" t="s">
        <v>2403</v>
      </c>
      <c r="C611" t="s">
        <v>2404</v>
      </c>
      <c r="D611" s="5" t="s">
        <v>281</v>
      </c>
      <c r="F611">
        <v>12</v>
      </c>
      <c r="L611">
        <v>2</v>
      </c>
      <c r="Q611">
        <v>1</v>
      </c>
    </row>
    <row r="612" spans="1:27" x14ac:dyDescent="0.2">
      <c r="A612" s="2" t="s">
        <v>2405</v>
      </c>
      <c r="B612" t="s">
        <v>217</v>
      </c>
      <c r="C612" t="s">
        <v>2406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2407</v>
      </c>
      <c r="B613" t="s">
        <v>2403</v>
      </c>
      <c r="C613" t="s">
        <v>2408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2409</v>
      </c>
      <c r="B614" t="s">
        <v>1682</v>
      </c>
      <c r="C614" t="s">
        <v>2410</v>
      </c>
      <c r="D614" s="5" t="s">
        <v>1555</v>
      </c>
      <c r="F614">
        <v>7</v>
      </c>
      <c r="K614">
        <v>2</v>
      </c>
      <c r="Q614">
        <v>1</v>
      </c>
      <c r="W614" s="2" t="s">
        <v>2400</v>
      </c>
      <c r="Y614" s="6">
        <v>0.1</v>
      </c>
      <c r="AA614" s="28" t="s">
        <v>2411</v>
      </c>
    </row>
    <row r="615" spans="1:27" x14ac:dyDescent="0.2">
      <c r="A615" s="2" t="s">
        <v>2412</v>
      </c>
      <c r="B615" t="s">
        <v>1670</v>
      </c>
      <c r="C615" t="s">
        <v>2413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2414</v>
      </c>
      <c r="B616" t="s">
        <v>295</v>
      </c>
      <c r="C616" t="s">
        <v>2415</v>
      </c>
      <c r="D616" s="5" t="s">
        <v>2399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2416</v>
      </c>
      <c r="B617" t="s">
        <v>2403</v>
      </c>
      <c r="C617" t="s">
        <v>2417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2418</v>
      </c>
      <c r="B618" t="s">
        <v>485</v>
      </c>
      <c r="C618" t="s">
        <v>2419</v>
      </c>
      <c r="D618" s="5" t="s">
        <v>2420</v>
      </c>
      <c r="G618">
        <v>17</v>
      </c>
      <c r="K618">
        <v>2</v>
      </c>
      <c r="Q618">
        <v>1</v>
      </c>
    </row>
    <row r="619" spans="1:27" x14ac:dyDescent="0.2">
      <c r="A619" s="2" t="s">
        <v>2421</v>
      </c>
      <c r="B619" t="s">
        <v>217</v>
      </c>
      <c r="C619" t="s">
        <v>2422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2423</v>
      </c>
      <c r="B620" t="s">
        <v>2403</v>
      </c>
      <c r="C620" t="s">
        <v>2424</v>
      </c>
      <c r="D620" s="5" t="s">
        <v>281</v>
      </c>
      <c r="F620">
        <v>10</v>
      </c>
      <c r="L620">
        <v>2</v>
      </c>
      <c r="Q620">
        <v>1</v>
      </c>
      <c r="W620" s="2" t="s">
        <v>2425</v>
      </c>
      <c r="Y620" s="6">
        <v>0.15</v>
      </c>
      <c r="AA620" t="s">
        <v>2426</v>
      </c>
    </row>
    <row r="621" spans="1:27" x14ac:dyDescent="0.2">
      <c r="A621" s="2" t="s">
        <v>2435</v>
      </c>
      <c r="B621" t="s">
        <v>483</v>
      </c>
      <c r="C621" t="s">
        <v>2434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2436</v>
      </c>
      <c r="B622" t="s">
        <v>483</v>
      </c>
      <c r="C622" t="s">
        <v>2437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2438</v>
      </c>
      <c r="B623" t="s">
        <v>295</v>
      </c>
      <c r="C623" t="s">
        <v>2439</v>
      </c>
      <c r="D623" s="5" t="s">
        <v>2399</v>
      </c>
      <c r="J623">
        <v>4</v>
      </c>
      <c r="K623">
        <v>9</v>
      </c>
      <c r="Q623">
        <v>1</v>
      </c>
    </row>
    <row r="624" spans="1:27" x14ac:dyDescent="0.2">
      <c r="A624" s="2" t="s">
        <v>2440</v>
      </c>
      <c r="B624" t="s">
        <v>485</v>
      </c>
      <c r="C624" t="s">
        <v>2441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2442</v>
      </c>
      <c r="B625" t="s">
        <v>217</v>
      </c>
      <c r="C625" t="s">
        <v>2443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2444</v>
      </c>
      <c r="B626" t="s">
        <v>295</v>
      </c>
      <c r="C626" t="s">
        <v>2477</v>
      </c>
      <c r="D626" s="5" t="s">
        <v>2399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2445</v>
      </c>
      <c r="AA626" t="s">
        <v>2446</v>
      </c>
    </row>
    <row r="627" spans="1:27" x14ac:dyDescent="0.2">
      <c r="A627" s="2" t="s">
        <v>2447</v>
      </c>
      <c r="B627" t="s">
        <v>293</v>
      </c>
      <c r="C627" t="s">
        <v>2479</v>
      </c>
      <c r="D627" s="5" t="s">
        <v>2336</v>
      </c>
      <c r="O627">
        <v>17</v>
      </c>
      <c r="Q627">
        <v>1</v>
      </c>
      <c r="V627">
        <v>10</v>
      </c>
      <c r="W627" s="2" t="s">
        <v>2448</v>
      </c>
      <c r="AA627" t="s">
        <v>2449</v>
      </c>
    </row>
    <row r="628" spans="1:27" x14ac:dyDescent="0.2">
      <c r="A628" s="2" t="s">
        <v>2450</v>
      </c>
      <c r="B628" t="s">
        <v>293</v>
      </c>
      <c r="C628" t="s">
        <v>2451</v>
      </c>
      <c r="D628" s="5" t="s">
        <v>2336</v>
      </c>
      <c r="O628">
        <v>19</v>
      </c>
      <c r="P628">
        <v>3</v>
      </c>
      <c r="Q628">
        <v>1</v>
      </c>
      <c r="V628">
        <v>12</v>
      </c>
      <c r="W628" s="2" t="s">
        <v>2452</v>
      </c>
      <c r="AA628" t="s">
        <v>2453</v>
      </c>
    </row>
    <row r="629" spans="1:27" x14ac:dyDescent="0.2">
      <c r="A629" s="2" t="s">
        <v>2454</v>
      </c>
      <c r="B629" t="s">
        <v>1670</v>
      </c>
      <c r="C629" t="s">
        <v>2455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2456</v>
      </c>
      <c r="AA629" t="s">
        <v>2457</v>
      </c>
    </row>
    <row r="630" spans="1:27" x14ac:dyDescent="0.2">
      <c r="A630" s="2" t="s">
        <v>2458</v>
      </c>
      <c r="B630" t="s">
        <v>1682</v>
      </c>
      <c r="C630" t="s">
        <v>2459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2460</v>
      </c>
      <c r="AA630" t="s">
        <v>2461</v>
      </c>
    </row>
    <row r="631" spans="1:27" x14ac:dyDescent="0.2">
      <c r="A631" s="2" t="s">
        <v>2462</v>
      </c>
      <c r="B631" t="s">
        <v>483</v>
      </c>
      <c r="C631" t="s">
        <v>2463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2464</v>
      </c>
      <c r="B632" t="s">
        <v>293</v>
      </c>
      <c r="C632" t="s">
        <v>2465</v>
      </c>
      <c r="D632" s="5" t="s">
        <v>2336</v>
      </c>
      <c r="L632">
        <v>3</v>
      </c>
      <c r="O632">
        <v>14</v>
      </c>
      <c r="Q632">
        <v>1</v>
      </c>
      <c r="V632">
        <v>10</v>
      </c>
      <c r="W632" s="2" t="s">
        <v>2466</v>
      </c>
      <c r="AA632" t="s">
        <v>2467</v>
      </c>
    </row>
    <row r="633" spans="1:27" x14ac:dyDescent="0.2">
      <c r="A633" s="2" t="s">
        <v>2468</v>
      </c>
      <c r="B633" t="s">
        <v>217</v>
      </c>
      <c r="C633" t="s">
        <v>2469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2470</v>
      </c>
      <c r="B634" t="s">
        <v>483</v>
      </c>
      <c r="C634" t="s">
        <v>2471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2484</v>
      </c>
      <c r="B635" t="s">
        <v>293</v>
      </c>
      <c r="C635" t="s">
        <v>2485</v>
      </c>
      <c r="D635" s="5" t="s">
        <v>2336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2581</v>
      </c>
      <c r="Y635" s="6" t="s">
        <v>2508</v>
      </c>
      <c r="AA635" t="s">
        <v>2507</v>
      </c>
    </row>
    <row r="636" spans="1:27" x14ac:dyDescent="0.2">
      <c r="A636" s="2" t="s">
        <v>2546</v>
      </c>
      <c r="B636" t="s">
        <v>294</v>
      </c>
      <c r="C636" t="s">
        <v>2547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2548</v>
      </c>
      <c r="AA636" t="s">
        <v>2549</v>
      </c>
    </row>
    <row r="637" spans="1:27" x14ac:dyDescent="0.2">
      <c r="A637" s="2" t="s">
        <v>2486</v>
      </c>
      <c r="B637" t="s">
        <v>293</v>
      </c>
      <c r="C637" t="s">
        <v>2487</v>
      </c>
      <c r="D637" s="5" t="s">
        <v>2336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2488</v>
      </c>
      <c r="B638" t="s">
        <v>303</v>
      </c>
      <c r="C638" t="s">
        <v>2489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2582</v>
      </c>
      <c r="X638" s="6"/>
      <c r="Y638">
        <v>0.05</v>
      </c>
      <c r="AA638" t="s">
        <v>2490</v>
      </c>
    </row>
    <row r="639" spans="1:27" x14ac:dyDescent="0.2">
      <c r="A639" s="2" t="s">
        <v>2509</v>
      </c>
      <c r="B639" t="s">
        <v>485</v>
      </c>
      <c r="C639" t="s">
        <v>2510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2190</v>
      </c>
      <c r="Y639" s="6">
        <v>0.1</v>
      </c>
      <c r="AA639" t="s">
        <v>2411</v>
      </c>
    </row>
    <row r="640" spans="1:27" x14ac:dyDescent="0.2">
      <c r="A640" s="2" t="s">
        <v>2511</v>
      </c>
      <c r="B640" t="s">
        <v>485</v>
      </c>
      <c r="C640" t="s">
        <v>2512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2582</v>
      </c>
      <c r="Y640">
        <v>0.1</v>
      </c>
      <c r="AA640" t="s">
        <v>2513</v>
      </c>
    </row>
    <row r="641" spans="1:27" x14ac:dyDescent="0.2">
      <c r="A641" s="2" t="s">
        <v>2514</v>
      </c>
      <c r="B641" t="s">
        <v>485</v>
      </c>
      <c r="C641" t="s">
        <v>2515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2516</v>
      </c>
      <c r="Y641"/>
      <c r="AA641" t="s">
        <v>2517</v>
      </c>
    </row>
    <row r="642" spans="1:27" x14ac:dyDescent="0.2">
      <c r="A642" s="2" t="s">
        <v>2518</v>
      </c>
      <c r="B642" t="s">
        <v>303</v>
      </c>
      <c r="C642" t="s">
        <v>2519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2520</v>
      </c>
      <c r="Y642"/>
      <c r="AA642" t="s">
        <v>2521</v>
      </c>
    </row>
    <row r="643" spans="1:27" x14ac:dyDescent="0.2">
      <c r="A643" s="2" t="s">
        <v>2522</v>
      </c>
      <c r="B643" t="s">
        <v>1670</v>
      </c>
      <c r="C643" t="s">
        <v>2523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2524</v>
      </c>
      <c r="Y643"/>
      <c r="AA643" t="s">
        <v>2525</v>
      </c>
    </row>
    <row r="644" spans="1:27" x14ac:dyDescent="0.2">
      <c r="A644" s="2" t="s">
        <v>2526</v>
      </c>
      <c r="B644" t="s">
        <v>1682</v>
      </c>
      <c r="C644" t="s">
        <v>2527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2528</v>
      </c>
      <c r="Y644"/>
      <c r="AA644" t="s">
        <v>2529</v>
      </c>
    </row>
    <row r="645" spans="1:27" x14ac:dyDescent="0.2">
      <c r="A645" s="2" t="s">
        <v>2530</v>
      </c>
      <c r="B645" t="s">
        <v>485</v>
      </c>
      <c r="C645" t="s">
        <v>2531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2532</v>
      </c>
      <c r="B646" t="s">
        <v>486</v>
      </c>
      <c r="C646" t="s">
        <v>2533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2534</v>
      </c>
      <c r="B647" t="s">
        <v>217</v>
      </c>
      <c r="C647" t="s">
        <v>2535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2536</v>
      </c>
      <c r="B648" t="s">
        <v>1668</v>
      </c>
      <c r="C648" t="s">
        <v>2537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2538</v>
      </c>
      <c r="B649" t="s">
        <v>2069</v>
      </c>
      <c r="C649" t="s">
        <v>2539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2540</v>
      </c>
      <c r="Y649"/>
      <c r="AA649" t="s">
        <v>2541</v>
      </c>
    </row>
    <row r="650" spans="1:27" x14ac:dyDescent="0.2">
      <c r="A650" s="2" t="s">
        <v>2583</v>
      </c>
      <c r="B650" t="s">
        <v>486</v>
      </c>
      <c r="C650" t="s">
        <v>2584</v>
      </c>
      <c r="D650" t="s">
        <v>2585</v>
      </c>
      <c r="F650">
        <v>3</v>
      </c>
      <c r="I650">
        <v>18</v>
      </c>
      <c r="M650">
        <v>5</v>
      </c>
      <c r="N650">
        <v>2</v>
      </c>
      <c r="Q650">
        <v>1</v>
      </c>
      <c r="W650" s="2" t="s">
        <v>2190</v>
      </c>
      <c r="Y650" s="6">
        <v>0.05</v>
      </c>
      <c r="AA650" t="s">
        <v>2401</v>
      </c>
    </row>
    <row r="651" spans="1:27" x14ac:dyDescent="0.2">
      <c r="A651" s="2" t="s">
        <v>2586</v>
      </c>
      <c r="B651" t="s">
        <v>485</v>
      </c>
      <c r="C651" t="s">
        <v>2587</v>
      </c>
      <c r="D651" t="s">
        <v>7</v>
      </c>
      <c r="G651">
        <v>18</v>
      </c>
      <c r="K651">
        <v>-1</v>
      </c>
      <c r="Q651">
        <v>1</v>
      </c>
      <c r="Y651"/>
    </row>
    <row r="652" spans="1:27" x14ac:dyDescent="0.2">
      <c r="A652" s="2" t="s">
        <v>2588</v>
      </c>
      <c r="B652" t="s">
        <v>303</v>
      </c>
      <c r="C652" t="s">
        <v>2589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2590</v>
      </c>
      <c r="B653" t="s">
        <v>293</v>
      </c>
      <c r="C653" t="s">
        <v>2591</v>
      </c>
      <c r="D653" s="5" t="s">
        <v>2336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2592</v>
      </c>
      <c r="B654" t="s">
        <v>293</v>
      </c>
      <c r="C654" t="s">
        <v>2593</v>
      </c>
      <c r="D654" s="5" t="s">
        <v>2336</v>
      </c>
      <c r="O654">
        <v>20</v>
      </c>
      <c r="P654">
        <v>5</v>
      </c>
      <c r="Q654">
        <v>1</v>
      </c>
      <c r="V654">
        <v>15</v>
      </c>
      <c r="W654" s="2" t="s">
        <v>2190</v>
      </c>
      <c r="Y654">
        <v>0.1</v>
      </c>
      <c r="AA654" t="s">
        <v>2594</v>
      </c>
    </row>
    <row r="655" spans="1:27" x14ac:dyDescent="0.2">
      <c r="A655" s="2" t="s">
        <v>2595</v>
      </c>
      <c r="B655" t="s">
        <v>486</v>
      </c>
      <c r="C655" t="s">
        <v>2596</v>
      </c>
      <c r="D655" t="s">
        <v>2585</v>
      </c>
      <c r="F655">
        <v>11</v>
      </c>
      <c r="I655">
        <v>15</v>
      </c>
      <c r="K655">
        <v>3</v>
      </c>
      <c r="Q655">
        <v>1</v>
      </c>
      <c r="W655" s="2" t="s">
        <v>2190</v>
      </c>
      <c r="Y655" s="6">
        <v>0.05</v>
      </c>
      <c r="AA655" t="s">
        <v>2401</v>
      </c>
    </row>
    <row r="656" spans="1:27" x14ac:dyDescent="0.2">
      <c r="A656" s="2" t="s">
        <v>2597</v>
      </c>
      <c r="B656" t="s">
        <v>293</v>
      </c>
      <c r="C656" t="s">
        <v>2598</v>
      </c>
      <c r="D656" s="5" t="s">
        <v>2336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2159</v>
      </c>
      <c r="Y656" s="6">
        <v>0.1</v>
      </c>
      <c r="AA656" t="s">
        <v>2355</v>
      </c>
    </row>
    <row r="657" spans="1:27" x14ac:dyDescent="0.2">
      <c r="A657" s="2" t="s">
        <v>2599</v>
      </c>
      <c r="B657" t="s">
        <v>303</v>
      </c>
      <c r="C657" t="s">
        <v>2600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2601</v>
      </c>
      <c r="Y657">
        <v>0.5</v>
      </c>
      <c r="AA657" t="s">
        <v>2602</v>
      </c>
    </row>
    <row r="658" spans="1:27" x14ac:dyDescent="0.2">
      <c r="A658" s="2" t="s">
        <v>2603</v>
      </c>
      <c r="B658" t="s">
        <v>303</v>
      </c>
      <c r="C658" t="s">
        <v>2604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2601</v>
      </c>
      <c r="Y658">
        <v>0.4</v>
      </c>
      <c r="AA658" t="s">
        <v>2605</v>
      </c>
    </row>
    <row r="659" spans="1:27" x14ac:dyDescent="0.2">
      <c r="A659" s="2" t="s">
        <v>2606</v>
      </c>
      <c r="B659" t="s">
        <v>293</v>
      </c>
      <c r="C659" t="s">
        <v>2607</v>
      </c>
      <c r="D659" s="5" t="s">
        <v>2336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2608</v>
      </c>
      <c r="Y659"/>
      <c r="AA659" t="s">
        <v>2609</v>
      </c>
    </row>
    <row r="660" spans="1:27" x14ac:dyDescent="0.2">
      <c r="A660" s="2" t="s">
        <v>2610</v>
      </c>
      <c r="B660" t="s">
        <v>294</v>
      </c>
      <c r="C660" t="s">
        <v>2611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2612</v>
      </c>
      <c r="Y660"/>
      <c r="AA660" t="s">
        <v>2613</v>
      </c>
    </row>
    <row r="661" spans="1:27" x14ac:dyDescent="0.2">
      <c r="A661" s="2" t="s">
        <v>2614</v>
      </c>
      <c r="B661" t="s">
        <v>1670</v>
      </c>
      <c r="C661" t="s">
        <v>2615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2616</v>
      </c>
      <c r="B662" t="s">
        <v>1682</v>
      </c>
      <c r="C662" t="s">
        <v>2617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2618</v>
      </c>
      <c r="B663" t="s">
        <v>293</v>
      </c>
      <c r="C663" t="s">
        <v>2619</v>
      </c>
      <c r="D663" s="5" t="s">
        <v>2336</v>
      </c>
      <c r="K663">
        <v>2</v>
      </c>
      <c r="O663">
        <v>16</v>
      </c>
      <c r="Q663">
        <v>1</v>
      </c>
      <c r="V663">
        <v>7</v>
      </c>
      <c r="W663" s="2" t="s">
        <v>2620</v>
      </c>
      <c r="Y663"/>
      <c r="AA663" t="s">
        <v>2621</v>
      </c>
    </row>
    <row r="664" spans="1:27" x14ac:dyDescent="0.2">
      <c r="A664" s="2" t="s">
        <v>2622</v>
      </c>
      <c r="B664" t="s">
        <v>483</v>
      </c>
      <c r="C664" t="s">
        <v>2623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2624</v>
      </c>
      <c r="B665" t="s">
        <v>2654</v>
      </c>
      <c r="C665" t="s">
        <v>2625</v>
      </c>
      <c r="D665" s="5" t="s">
        <v>2655</v>
      </c>
      <c r="F665">
        <v>25</v>
      </c>
      <c r="Q665">
        <v>1</v>
      </c>
      <c r="S665">
        <v>22</v>
      </c>
      <c r="V665">
        <v>12</v>
      </c>
      <c r="W665" s="2" t="s">
        <v>2626</v>
      </c>
      <c r="Y665"/>
      <c r="AA665" t="s">
        <v>2627</v>
      </c>
    </row>
    <row r="666" spans="1:27" x14ac:dyDescent="0.2">
      <c r="A666" s="2" t="s">
        <v>2628</v>
      </c>
      <c r="B666" t="s">
        <v>1682</v>
      </c>
      <c r="C666" t="s">
        <v>2629</v>
      </c>
      <c r="D666" s="5" t="s">
        <v>1555</v>
      </c>
      <c r="F666">
        <v>4</v>
      </c>
      <c r="K666">
        <v>2</v>
      </c>
      <c r="Q666">
        <v>1</v>
      </c>
      <c r="W666" s="2" t="s">
        <v>2630</v>
      </c>
      <c r="Y666"/>
      <c r="AA666" t="s">
        <v>2631</v>
      </c>
    </row>
    <row r="667" spans="1:27" x14ac:dyDescent="0.2">
      <c r="A667" s="2" t="s">
        <v>2632</v>
      </c>
      <c r="B667" t="s">
        <v>217</v>
      </c>
      <c r="C667" t="s">
        <v>2633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2634</v>
      </c>
      <c r="B668" t="s">
        <v>217</v>
      </c>
      <c r="C668" t="s">
        <v>2635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2636</v>
      </c>
      <c r="B669" t="s">
        <v>293</v>
      </c>
      <c r="C669" t="s">
        <v>2637</v>
      </c>
      <c r="D669" s="5" t="s">
        <v>2336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2638</v>
      </c>
      <c r="B670" t="s">
        <v>293</v>
      </c>
      <c r="C670" t="s">
        <v>2639</v>
      </c>
      <c r="D670" s="5" t="s">
        <v>2336</v>
      </c>
      <c r="O670">
        <v>22</v>
      </c>
      <c r="Q670">
        <v>1</v>
      </c>
      <c r="V670">
        <v>14</v>
      </c>
      <c r="W670" s="2" t="s">
        <v>2640</v>
      </c>
      <c r="Y670"/>
      <c r="AA670" t="s">
        <v>2641</v>
      </c>
    </row>
    <row r="671" spans="1:27" x14ac:dyDescent="0.2">
      <c r="A671" s="2" t="s">
        <v>2642</v>
      </c>
      <c r="B671" t="s">
        <v>1682</v>
      </c>
      <c r="C671" t="s">
        <v>2643</v>
      </c>
      <c r="D671" s="5" t="s">
        <v>1555</v>
      </c>
      <c r="F671">
        <v>9</v>
      </c>
      <c r="K671">
        <v>3</v>
      </c>
      <c r="Q671">
        <v>1</v>
      </c>
      <c r="W671" s="2" t="s">
        <v>2644</v>
      </c>
      <c r="Y671"/>
      <c r="AA671" t="s">
        <v>2645</v>
      </c>
    </row>
    <row r="672" spans="1:27" x14ac:dyDescent="0.2">
      <c r="A672" s="2" t="s">
        <v>2651</v>
      </c>
      <c r="B672" t="s">
        <v>483</v>
      </c>
      <c r="C672" t="s">
        <v>2652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2672</v>
      </c>
      <c r="B673" t="s">
        <v>483</v>
      </c>
      <c r="C673" t="s">
        <v>2673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2674</v>
      </c>
      <c r="Y673" s="6">
        <v>0.2</v>
      </c>
    </row>
    <row r="674" spans="1:27" x14ac:dyDescent="0.2">
      <c r="A674" s="2" t="s">
        <v>2687</v>
      </c>
      <c r="B674" t="s">
        <v>485</v>
      </c>
      <c r="C674" t="s">
        <v>2686</v>
      </c>
      <c r="D674" t="s">
        <v>7</v>
      </c>
      <c r="G674">
        <v>18</v>
      </c>
      <c r="Q674">
        <v>1</v>
      </c>
      <c r="W674" s="2" t="s">
        <v>2688</v>
      </c>
      <c r="AA674" t="s">
        <v>2689</v>
      </c>
    </row>
    <row r="675" spans="1:27" x14ac:dyDescent="0.2">
      <c r="A675" s="2" t="s">
        <v>2664</v>
      </c>
      <c r="B675" t="s">
        <v>2069</v>
      </c>
      <c r="C675" t="s">
        <v>2665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2666</v>
      </c>
      <c r="AA675" t="s">
        <v>2690</v>
      </c>
    </row>
    <row r="676" spans="1:27" x14ac:dyDescent="0.2">
      <c r="A676" s="2" t="s">
        <v>2691</v>
      </c>
      <c r="B676" t="s">
        <v>293</v>
      </c>
      <c r="C676" t="s">
        <v>2695</v>
      </c>
      <c r="D676" s="5" t="s">
        <v>2336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2696</v>
      </c>
      <c r="Y676" s="6">
        <v>0.15</v>
      </c>
    </row>
    <row r="677" spans="1:27" x14ac:dyDescent="0.2">
      <c r="A677" s="2" t="s">
        <v>2692</v>
      </c>
      <c r="B677" t="s">
        <v>485</v>
      </c>
      <c r="C677" t="s">
        <v>2697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2693</v>
      </c>
      <c r="B678" t="s">
        <v>293</v>
      </c>
      <c r="C678" t="s">
        <v>2698</v>
      </c>
      <c r="D678" s="5" t="s">
        <v>2336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2694</v>
      </c>
      <c r="B679" t="s">
        <v>483</v>
      </c>
      <c r="C679" t="s">
        <v>2699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2675</v>
      </c>
      <c r="B680" t="s">
        <v>293</v>
      </c>
      <c r="C680" t="s">
        <v>2676</v>
      </c>
      <c r="D680" s="5" t="s">
        <v>2336</v>
      </c>
      <c r="O680">
        <v>22</v>
      </c>
      <c r="P680">
        <v>5</v>
      </c>
      <c r="Q680">
        <v>1</v>
      </c>
      <c r="V680">
        <v>18</v>
      </c>
      <c r="W680" s="2" t="s">
        <v>2674</v>
      </c>
      <c r="Y680" s="6">
        <v>0.15</v>
      </c>
    </row>
    <row r="681" spans="1:27" x14ac:dyDescent="0.2">
      <c r="A681" s="2" t="s">
        <v>2700</v>
      </c>
      <c r="B681" t="s">
        <v>485</v>
      </c>
      <c r="C681" t="s">
        <v>2701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2703</v>
      </c>
      <c r="AA681" t="s">
        <v>2702</v>
      </c>
    </row>
    <row r="682" spans="1:27" x14ac:dyDescent="0.2">
      <c r="A682" s="2" t="s">
        <v>2658</v>
      </c>
      <c r="B682" t="s">
        <v>2069</v>
      </c>
      <c r="C682" t="s">
        <v>2659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2663</v>
      </c>
      <c r="AA682" t="s">
        <v>2704</v>
      </c>
    </row>
    <row r="683" spans="1:27" x14ac:dyDescent="0.2">
      <c r="A683" s="2" t="s">
        <v>2661</v>
      </c>
      <c r="B683" t="s">
        <v>1682</v>
      </c>
      <c r="C683" t="s">
        <v>2660</v>
      </c>
      <c r="D683" s="5" t="s">
        <v>1555</v>
      </c>
      <c r="F683">
        <v>4</v>
      </c>
      <c r="K683">
        <v>2</v>
      </c>
      <c r="Q683">
        <v>1</v>
      </c>
      <c r="W683" s="2" t="s">
        <v>2662</v>
      </c>
      <c r="AA683" t="s">
        <v>2705</v>
      </c>
    </row>
    <row r="684" spans="1:27" x14ac:dyDescent="0.2">
      <c r="A684" s="2" t="s">
        <v>2706</v>
      </c>
      <c r="B684" t="s">
        <v>1670</v>
      </c>
      <c r="C684" t="s">
        <v>2710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2707</v>
      </c>
      <c r="B685" t="s">
        <v>1682</v>
      </c>
      <c r="C685" t="s">
        <v>2711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2708</v>
      </c>
      <c r="B686" t="s">
        <v>295</v>
      </c>
      <c r="C686" t="s">
        <v>2712</v>
      </c>
      <c r="D686" s="5" t="s">
        <v>2399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2709</v>
      </c>
      <c r="B687" t="s">
        <v>486</v>
      </c>
      <c r="C687" t="s">
        <v>2713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2682</v>
      </c>
      <c r="B688" t="s">
        <v>485</v>
      </c>
      <c r="C688" t="s">
        <v>2683</v>
      </c>
      <c r="D688" t="s">
        <v>7</v>
      </c>
      <c r="G688">
        <v>23</v>
      </c>
      <c r="Q688">
        <v>1</v>
      </c>
      <c r="W688" s="2" t="s">
        <v>2684</v>
      </c>
      <c r="AA688" t="s">
        <v>2685</v>
      </c>
    </row>
    <row r="689" spans="1:27" x14ac:dyDescent="0.2">
      <c r="A689" s="2" t="s">
        <v>2677</v>
      </c>
      <c r="B689" t="s">
        <v>485</v>
      </c>
      <c r="C689" t="s">
        <v>2678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2679</v>
      </c>
      <c r="Y689" s="6">
        <v>0.15</v>
      </c>
    </row>
    <row r="690" spans="1:27" s="8" customFormat="1" x14ac:dyDescent="0.2">
      <c r="A690" s="9" t="s">
        <v>2680</v>
      </c>
      <c r="B690" s="8" t="s">
        <v>485</v>
      </c>
      <c r="C690" s="8" t="s">
        <v>2681</v>
      </c>
      <c r="D690" s="8" t="s">
        <v>7</v>
      </c>
      <c r="G690" s="8">
        <v>15</v>
      </c>
      <c r="K690" s="8">
        <v>3</v>
      </c>
      <c r="M690" s="8">
        <v>7</v>
      </c>
      <c r="Q690" s="8">
        <v>1</v>
      </c>
      <c r="W690" s="9" t="s">
        <v>2714</v>
      </c>
      <c r="Y690" s="37"/>
      <c r="AA690" t="s">
        <v>2715</v>
      </c>
    </row>
    <row r="691" spans="1:27" x14ac:dyDescent="0.2">
      <c r="A691" s="9" t="s">
        <v>2717</v>
      </c>
      <c r="B691" t="s">
        <v>483</v>
      </c>
      <c r="C691" t="s">
        <v>2716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2718</v>
      </c>
      <c r="AA691" t="s">
        <v>2719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24"/>
  <sheetViews>
    <sheetView zoomScaleNormal="100" workbookViewId="0">
      <pane xSplit="5" ySplit="1" topLeftCell="F86" activePane="bottomRight" state="frozen"/>
      <selection pane="topRight" activeCell="F1" sqref="F1"/>
      <selection pane="bottomLeft" activeCell="A2" sqref="A2"/>
      <selection pane="bottomRight" activeCell="C113" sqref="C113"/>
    </sheetView>
  </sheetViews>
  <sheetFormatPr defaultColWidth="8.875" defaultRowHeight="14.25" x14ac:dyDescent="0.2"/>
  <cols>
    <col min="1" max="1" width="9" style="2"/>
    <col min="3" max="3" width="16.125" bestFit="1" customWidth="1"/>
    <col min="5" max="5" width="9" style="8"/>
    <col min="12" max="12" width="9" style="1"/>
    <col min="18" max="18" width="18.125" bestFit="1" customWidth="1"/>
    <col min="19" max="21" width="19.125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8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1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2292</v>
      </c>
    </row>
    <row r="2" spans="1:30" x14ac:dyDescent="0.2">
      <c r="A2" s="2" t="s">
        <v>1833</v>
      </c>
      <c r="B2" t="s">
        <v>206</v>
      </c>
      <c r="C2" t="s">
        <v>1834</v>
      </c>
      <c r="D2" t="s">
        <v>91</v>
      </c>
      <c r="E2" s="8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1">
        <v>0</v>
      </c>
      <c r="M2" s="31">
        <v>100</v>
      </c>
      <c r="N2" s="31">
        <v>0</v>
      </c>
      <c r="O2" s="31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8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1">
        <v>30</v>
      </c>
      <c r="M3">
        <v>14</v>
      </c>
      <c r="N3">
        <v>3</v>
      </c>
      <c r="O3">
        <v>35</v>
      </c>
      <c r="P3">
        <v>1</v>
      </c>
      <c r="Q3">
        <v>0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8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1">
        <v>38</v>
      </c>
      <c r="M4">
        <v>30</v>
      </c>
      <c r="N4">
        <v>6</v>
      </c>
      <c r="O4">
        <v>40</v>
      </c>
      <c r="P4">
        <v>1</v>
      </c>
      <c r="Q4">
        <v>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8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57</v>
      </c>
      <c r="M5">
        <v>60</v>
      </c>
      <c r="N5">
        <v>20</v>
      </c>
      <c r="O5">
        <v>45</v>
      </c>
      <c r="P5">
        <v>1</v>
      </c>
      <c r="Q5">
        <v>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8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1">
        <v>69</v>
      </c>
      <c r="M6">
        <v>83</v>
      </c>
      <c r="N6">
        <v>28</v>
      </c>
      <c r="O6">
        <v>45</v>
      </c>
      <c r="P6">
        <v>1</v>
      </c>
      <c r="Q6">
        <v>0</v>
      </c>
      <c r="R6" t="s">
        <v>249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8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1">
        <v>31</v>
      </c>
      <c r="M7">
        <v>18</v>
      </c>
      <c r="N7">
        <v>4</v>
      </c>
      <c r="O7">
        <v>35</v>
      </c>
      <c r="P7">
        <v>1</v>
      </c>
      <c r="Q7">
        <v>0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8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1">
        <v>44</v>
      </c>
      <c r="M8">
        <v>40</v>
      </c>
      <c r="N8">
        <v>7</v>
      </c>
      <c r="O8">
        <v>40</v>
      </c>
      <c r="P8">
        <v>1</v>
      </c>
      <c r="Q8">
        <v>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8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 s="1">
        <v>60</v>
      </c>
      <c r="M9">
        <v>65</v>
      </c>
      <c r="N9">
        <v>10</v>
      </c>
      <c r="O9">
        <v>45</v>
      </c>
      <c r="P9">
        <v>1</v>
      </c>
      <c r="Q9">
        <v>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8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1">
        <v>30</v>
      </c>
      <c r="M10">
        <v>16</v>
      </c>
      <c r="N10">
        <v>4</v>
      </c>
      <c r="O10">
        <v>35</v>
      </c>
      <c r="P10">
        <v>1</v>
      </c>
      <c r="Q10">
        <v>0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8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1">
        <v>41</v>
      </c>
      <c r="M11">
        <v>35</v>
      </c>
      <c r="N11">
        <v>7</v>
      </c>
      <c r="O11">
        <v>40</v>
      </c>
      <c r="P11">
        <v>1</v>
      </c>
      <c r="Q11">
        <v>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8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 s="1">
        <v>53</v>
      </c>
      <c r="M12">
        <v>54</v>
      </c>
      <c r="N12">
        <v>12</v>
      </c>
      <c r="O12">
        <v>45</v>
      </c>
      <c r="P12">
        <v>1</v>
      </c>
      <c r="Q12">
        <v>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8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63</v>
      </c>
      <c r="M13">
        <v>70</v>
      </c>
      <c r="N13">
        <v>15</v>
      </c>
      <c r="O13">
        <v>45</v>
      </c>
      <c r="P13">
        <v>1</v>
      </c>
      <c r="Q13">
        <v>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8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1">
        <v>30</v>
      </c>
      <c r="M14">
        <v>15</v>
      </c>
      <c r="N14">
        <v>3</v>
      </c>
      <c r="O14">
        <v>35</v>
      </c>
      <c r="P14">
        <v>1</v>
      </c>
      <c r="Q14">
        <v>0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8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 s="1">
        <v>38</v>
      </c>
      <c r="M15">
        <v>30</v>
      </c>
      <c r="N15">
        <v>6</v>
      </c>
      <c r="O15">
        <v>40</v>
      </c>
      <c r="P15">
        <v>1</v>
      </c>
      <c r="Q15">
        <v>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8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1">
        <v>52</v>
      </c>
      <c r="M16">
        <v>52</v>
      </c>
      <c r="N16">
        <v>10</v>
      </c>
      <c r="O16">
        <v>45</v>
      </c>
      <c r="P16">
        <v>1</v>
      </c>
      <c r="Q16">
        <v>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8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1">
        <v>64</v>
      </c>
      <c r="M17">
        <v>72</v>
      </c>
      <c r="N17">
        <v>12</v>
      </c>
      <c r="O17">
        <v>45</v>
      </c>
      <c r="P17">
        <v>1</v>
      </c>
      <c r="Q17">
        <v>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8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1">
        <v>34</v>
      </c>
      <c r="M18">
        <v>3</v>
      </c>
      <c r="N18">
        <v>45</v>
      </c>
      <c r="O18">
        <v>25</v>
      </c>
      <c r="P18">
        <v>1</v>
      </c>
      <c r="Q18">
        <v>0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8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1">
        <v>44</v>
      </c>
      <c r="M19">
        <v>12</v>
      </c>
      <c r="N19">
        <v>55</v>
      </c>
      <c r="O19">
        <v>30</v>
      </c>
      <c r="P19">
        <v>1</v>
      </c>
      <c r="Q19">
        <v>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8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1">
        <v>58</v>
      </c>
      <c r="M20">
        <v>45</v>
      </c>
      <c r="N20">
        <v>55</v>
      </c>
      <c r="O20">
        <v>35</v>
      </c>
      <c r="P20">
        <v>1</v>
      </c>
      <c r="Q20">
        <v>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8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1">
        <v>71</v>
      </c>
      <c r="M21">
        <v>50</v>
      </c>
      <c r="N21">
        <v>65</v>
      </c>
      <c r="O21">
        <v>35</v>
      </c>
      <c r="P21">
        <v>1</v>
      </c>
      <c r="Q21">
        <v>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8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1">
        <v>35</v>
      </c>
      <c r="M22">
        <v>15</v>
      </c>
      <c r="N22">
        <v>11</v>
      </c>
      <c r="O22">
        <v>30</v>
      </c>
      <c r="P22">
        <v>2</v>
      </c>
      <c r="Q22">
        <v>0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8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1">
        <v>45</v>
      </c>
      <c r="M23">
        <v>28</v>
      </c>
      <c r="N23">
        <v>11</v>
      </c>
      <c r="O23">
        <v>33</v>
      </c>
      <c r="P23">
        <v>2</v>
      </c>
      <c r="Q23">
        <v>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8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1">
        <v>56</v>
      </c>
      <c r="M24">
        <v>47</v>
      </c>
      <c r="N24">
        <v>11</v>
      </c>
      <c r="O24">
        <v>36</v>
      </c>
      <c r="P24">
        <v>2</v>
      </c>
      <c r="Q24">
        <v>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8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1">
        <v>35</v>
      </c>
      <c r="M25">
        <v>15</v>
      </c>
      <c r="N25">
        <v>11</v>
      </c>
      <c r="O25">
        <v>30</v>
      </c>
      <c r="P25">
        <v>2</v>
      </c>
      <c r="Q25">
        <v>0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8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1">
        <v>43</v>
      </c>
      <c r="M26">
        <v>26</v>
      </c>
      <c r="N26">
        <v>11</v>
      </c>
      <c r="O26">
        <v>33</v>
      </c>
      <c r="P26">
        <v>2</v>
      </c>
      <c r="Q26">
        <v>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8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1">
        <v>59</v>
      </c>
      <c r="M27">
        <v>46</v>
      </c>
      <c r="N27">
        <v>29</v>
      </c>
      <c r="O27">
        <v>36</v>
      </c>
      <c r="P27">
        <v>2</v>
      </c>
      <c r="Q27">
        <v>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8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1">
        <v>68</v>
      </c>
      <c r="M28">
        <v>63</v>
      </c>
      <c r="N28">
        <v>45</v>
      </c>
      <c r="O28">
        <v>36</v>
      </c>
      <c r="P28">
        <v>2</v>
      </c>
      <c r="Q28">
        <v>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8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1">
        <v>35</v>
      </c>
      <c r="M29">
        <v>15</v>
      </c>
      <c r="N29">
        <v>11</v>
      </c>
      <c r="O29">
        <v>30</v>
      </c>
      <c r="P29">
        <v>2</v>
      </c>
      <c r="Q29">
        <v>0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8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1">
        <v>42</v>
      </c>
      <c r="M30">
        <v>24</v>
      </c>
      <c r="N30">
        <v>11</v>
      </c>
      <c r="O30">
        <v>33</v>
      </c>
      <c r="P30">
        <v>2</v>
      </c>
      <c r="Q30">
        <v>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8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1">
        <v>51</v>
      </c>
      <c r="M31">
        <v>44</v>
      </c>
      <c r="N31">
        <v>20</v>
      </c>
      <c r="O31">
        <v>36</v>
      </c>
      <c r="P31">
        <v>2</v>
      </c>
      <c r="Q31">
        <v>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8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1">
        <v>72</v>
      </c>
      <c r="M32">
        <v>64</v>
      </c>
      <c r="N32">
        <v>34</v>
      </c>
      <c r="O32">
        <v>36</v>
      </c>
      <c r="P32">
        <v>2</v>
      </c>
      <c r="Q32">
        <v>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8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1">
        <v>35</v>
      </c>
      <c r="M33">
        <v>3</v>
      </c>
      <c r="N33">
        <v>35</v>
      </c>
      <c r="O33">
        <v>25</v>
      </c>
      <c r="P33">
        <v>1</v>
      </c>
      <c r="Q33">
        <v>0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8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1">
        <v>45</v>
      </c>
      <c r="M34">
        <v>10</v>
      </c>
      <c r="N34">
        <v>35</v>
      </c>
      <c r="O34">
        <v>30</v>
      </c>
      <c r="P34">
        <v>1</v>
      </c>
      <c r="Q34">
        <v>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8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1">
        <v>54</v>
      </c>
      <c r="M35">
        <v>40</v>
      </c>
      <c r="N35">
        <v>45</v>
      </c>
      <c r="O35">
        <v>35</v>
      </c>
      <c r="P35">
        <v>1</v>
      </c>
      <c r="Q35">
        <v>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8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1">
        <v>66</v>
      </c>
      <c r="M36">
        <v>60</v>
      </c>
      <c r="N36">
        <v>55</v>
      </c>
      <c r="O36">
        <v>40</v>
      </c>
      <c r="P36">
        <v>1</v>
      </c>
      <c r="Q36">
        <v>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8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1">
        <v>38</v>
      </c>
      <c r="M37">
        <v>12</v>
      </c>
      <c r="N37">
        <v>15</v>
      </c>
      <c r="O37">
        <v>25</v>
      </c>
      <c r="P37">
        <v>2</v>
      </c>
      <c r="Q37">
        <v>0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8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1">
        <v>47</v>
      </c>
      <c r="M38">
        <v>20</v>
      </c>
      <c r="N38">
        <v>25</v>
      </c>
      <c r="O38">
        <v>30</v>
      </c>
      <c r="P38">
        <v>2</v>
      </c>
      <c r="Q38">
        <v>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8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1">
        <v>62</v>
      </c>
      <c r="M39">
        <v>50</v>
      </c>
      <c r="N39">
        <v>25</v>
      </c>
      <c r="O39">
        <v>35</v>
      </c>
      <c r="P39">
        <v>2</v>
      </c>
      <c r="Q39">
        <v>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8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1">
        <v>79</v>
      </c>
      <c r="M40">
        <v>57</v>
      </c>
      <c r="N40">
        <v>40</v>
      </c>
      <c r="O40">
        <v>35</v>
      </c>
      <c r="P40">
        <v>2</v>
      </c>
      <c r="Q40">
        <v>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8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1">
        <v>43</v>
      </c>
      <c r="M41">
        <v>20</v>
      </c>
      <c r="N41">
        <v>30</v>
      </c>
      <c r="O41">
        <v>27</v>
      </c>
      <c r="P41">
        <v>3</v>
      </c>
      <c r="Q41">
        <v>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8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1">
        <v>56</v>
      </c>
      <c r="M42">
        <v>40</v>
      </c>
      <c r="N42">
        <v>30</v>
      </c>
      <c r="O42">
        <v>30</v>
      </c>
      <c r="P42">
        <v>3</v>
      </c>
      <c r="Q42">
        <v>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8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1">
        <v>70</v>
      </c>
      <c r="M43">
        <v>55</v>
      </c>
      <c r="N43">
        <v>40</v>
      </c>
      <c r="O43">
        <v>33</v>
      </c>
      <c r="P43">
        <v>3</v>
      </c>
      <c r="Q43">
        <v>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8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1">
        <v>79</v>
      </c>
      <c r="M44">
        <v>65</v>
      </c>
      <c r="N44">
        <v>45</v>
      </c>
      <c r="O44">
        <v>36</v>
      </c>
      <c r="P44">
        <v>3</v>
      </c>
      <c r="Q44">
        <v>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8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1">
        <v>40</v>
      </c>
      <c r="M45">
        <v>3</v>
      </c>
      <c r="N45">
        <v>25</v>
      </c>
      <c r="O45">
        <v>18</v>
      </c>
      <c r="P45">
        <v>3</v>
      </c>
      <c r="Q45">
        <v>0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8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1">
        <v>50</v>
      </c>
      <c r="M46">
        <v>16</v>
      </c>
      <c r="N46">
        <v>20</v>
      </c>
      <c r="O46">
        <v>21</v>
      </c>
      <c r="P46">
        <v>3</v>
      </c>
      <c r="Q46">
        <v>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8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1">
        <v>60</v>
      </c>
      <c r="M47">
        <v>40</v>
      </c>
      <c r="N47">
        <v>35</v>
      </c>
      <c r="O47">
        <v>24</v>
      </c>
      <c r="P47">
        <v>3</v>
      </c>
      <c r="Q47">
        <v>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8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1">
        <v>89</v>
      </c>
      <c r="M48">
        <v>43</v>
      </c>
      <c r="N48">
        <v>56</v>
      </c>
      <c r="O48">
        <v>24</v>
      </c>
      <c r="P48">
        <v>3</v>
      </c>
      <c r="Q48">
        <v>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8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1">
        <v>101</v>
      </c>
      <c r="M49">
        <v>45</v>
      </c>
      <c r="N49">
        <v>50</v>
      </c>
      <c r="O49">
        <v>30</v>
      </c>
      <c r="P49">
        <v>3</v>
      </c>
      <c r="Q49">
        <v>0</v>
      </c>
      <c r="R49" t="s">
        <v>227</v>
      </c>
      <c r="S49" t="s">
        <v>230</v>
      </c>
      <c r="T49" t="s">
        <v>233</v>
      </c>
      <c r="U49" t="s">
        <v>264</v>
      </c>
      <c r="V49">
        <f t="shared" si="1"/>
        <v>140</v>
      </c>
      <c r="W49">
        <v>0</v>
      </c>
      <c r="X49">
        <v>0</v>
      </c>
      <c r="Y49">
        <v>0</v>
      </c>
      <c r="Z49">
        <v>140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8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1">
        <v>110</v>
      </c>
      <c r="M50">
        <v>50</v>
      </c>
      <c r="N50">
        <v>70</v>
      </c>
      <c r="O50">
        <v>33</v>
      </c>
      <c r="P50">
        <v>3</v>
      </c>
      <c r="Q50">
        <v>0</v>
      </c>
      <c r="R50" t="s">
        <v>227</v>
      </c>
      <c r="S50" t="s">
        <v>230</v>
      </c>
      <c r="T50" t="s">
        <v>259</v>
      </c>
      <c r="U50" t="s">
        <v>264</v>
      </c>
      <c r="V50">
        <f t="shared" si="1"/>
        <v>180</v>
      </c>
      <c r="W50">
        <v>0</v>
      </c>
      <c r="X50">
        <v>0</v>
      </c>
      <c r="Y50">
        <v>0</v>
      </c>
      <c r="Z50">
        <v>180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8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1">
        <v>112</v>
      </c>
      <c r="M51">
        <v>55</v>
      </c>
      <c r="N51">
        <v>90</v>
      </c>
      <c r="O51">
        <v>36</v>
      </c>
      <c r="P51">
        <v>3</v>
      </c>
      <c r="Q51">
        <v>0</v>
      </c>
      <c r="R51" t="s">
        <v>227</v>
      </c>
      <c r="S51" t="s">
        <v>230</v>
      </c>
      <c r="T51" t="s">
        <v>259</v>
      </c>
      <c r="U51" t="s">
        <v>264</v>
      </c>
      <c r="V51">
        <f t="shared" si="1"/>
        <v>220</v>
      </c>
      <c r="W51">
        <v>0</v>
      </c>
      <c r="X51">
        <v>0</v>
      </c>
      <c r="Y51">
        <v>0</v>
      </c>
      <c r="Z51">
        <v>220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8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32</v>
      </c>
      <c r="M52">
        <v>1</v>
      </c>
      <c r="N52">
        <v>6</v>
      </c>
      <c r="O52">
        <v>15</v>
      </c>
      <c r="P52">
        <v>1</v>
      </c>
      <c r="Q52">
        <v>0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8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41</v>
      </c>
      <c r="M53">
        <v>5</v>
      </c>
      <c r="N53">
        <v>8</v>
      </c>
      <c r="O53">
        <v>20</v>
      </c>
      <c r="P53">
        <v>1</v>
      </c>
      <c r="Q53">
        <v>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8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1">
        <v>52</v>
      </c>
      <c r="M54">
        <v>10</v>
      </c>
      <c r="N54">
        <v>10</v>
      </c>
      <c r="O54">
        <v>25</v>
      </c>
      <c r="P54">
        <v>1</v>
      </c>
      <c r="Q54">
        <v>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8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1">
        <v>62</v>
      </c>
      <c r="M55">
        <v>15</v>
      </c>
      <c r="N55">
        <v>12</v>
      </c>
      <c r="O55">
        <v>25</v>
      </c>
      <c r="P55">
        <v>1</v>
      </c>
      <c r="Q55">
        <v>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8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1">
        <v>36</v>
      </c>
      <c r="M56">
        <v>5</v>
      </c>
      <c r="N56">
        <v>10</v>
      </c>
      <c r="O56">
        <v>15</v>
      </c>
      <c r="P56">
        <v>1</v>
      </c>
      <c r="Q56">
        <v>0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8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1">
        <v>52</v>
      </c>
      <c r="M57">
        <v>10</v>
      </c>
      <c r="N57">
        <v>15</v>
      </c>
      <c r="O57">
        <v>20</v>
      </c>
      <c r="P57">
        <v>1</v>
      </c>
      <c r="Q57">
        <v>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8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1">
        <v>69</v>
      </c>
      <c r="M58">
        <v>15</v>
      </c>
      <c r="N58">
        <v>20</v>
      </c>
      <c r="O58">
        <v>25</v>
      </c>
      <c r="P58">
        <v>1</v>
      </c>
      <c r="Q58">
        <v>0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8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1">
        <v>39</v>
      </c>
      <c r="M59">
        <v>1</v>
      </c>
      <c r="N59">
        <v>7</v>
      </c>
      <c r="O59">
        <v>15</v>
      </c>
      <c r="P59">
        <v>1</v>
      </c>
      <c r="Q59">
        <v>0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8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1">
        <v>58</v>
      </c>
      <c r="M60">
        <v>5</v>
      </c>
      <c r="N60">
        <v>9</v>
      </c>
      <c r="O60">
        <v>20</v>
      </c>
      <c r="P60">
        <v>1</v>
      </c>
      <c r="Q60">
        <v>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8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1">
        <v>69</v>
      </c>
      <c r="M61">
        <v>10</v>
      </c>
      <c r="N61">
        <v>10</v>
      </c>
      <c r="O61">
        <v>25</v>
      </c>
      <c r="P61">
        <v>1</v>
      </c>
      <c r="Q61">
        <v>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8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1">
        <v>79</v>
      </c>
      <c r="M62">
        <v>15</v>
      </c>
      <c r="N62">
        <v>11</v>
      </c>
      <c r="O62">
        <v>25</v>
      </c>
      <c r="P62">
        <v>1</v>
      </c>
      <c r="Q62">
        <v>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2249</v>
      </c>
      <c r="C63" t="s">
        <v>152</v>
      </c>
      <c r="D63" t="s">
        <v>91</v>
      </c>
      <c r="E63" s="8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38</v>
      </c>
      <c r="M63">
        <v>18</v>
      </c>
      <c r="N63">
        <v>4</v>
      </c>
      <c r="O63">
        <v>30</v>
      </c>
      <c r="P63">
        <v>2</v>
      </c>
      <c r="Q63">
        <v>0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2249</v>
      </c>
      <c r="C64" t="s">
        <v>153</v>
      </c>
      <c r="D64" t="s">
        <v>91</v>
      </c>
      <c r="E64" s="8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1">
        <v>51</v>
      </c>
      <c r="M64">
        <v>30</v>
      </c>
      <c r="N64">
        <v>10</v>
      </c>
      <c r="O64">
        <v>35</v>
      </c>
      <c r="P64">
        <v>2</v>
      </c>
      <c r="Q64">
        <v>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2249</v>
      </c>
      <c r="C65" t="s">
        <v>154</v>
      </c>
      <c r="D65" t="s">
        <v>91</v>
      </c>
      <c r="E65" s="8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1">
        <v>65</v>
      </c>
      <c r="M65">
        <v>55</v>
      </c>
      <c r="N65">
        <v>15</v>
      </c>
      <c r="O65">
        <v>40</v>
      </c>
      <c r="P65">
        <v>2</v>
      </c>
      <c r="Q65">
        <v>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2249</v>
      </c>
      <c r="C66" t="s">
        <v>155</v>
      </c>
      <c r="D66" t="s">
        <v>91</v>
      </c>
      <c r="E66" s="8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1">
        <v>74</v>
      </c>
      <c r="M66">
        <v>65</v>
      </c>
      <c r="N66">
        <v>20</v>
      </c>
      <c r="O66">
        <v>40</v>
      </c>
      <c r="P66">
        <v>2</v>
      </c>
      <c r="Q66">
        <v>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8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1">
        <v>47</v>
      </c>
      <c r="M67">
        <v>12</v>
      </c>
      <c r="N67">
        <v>15</v>
      </c>
      <c r="O67">
        <v>27</v>
      </c>
      <c r="P67">
        <v>3</v>
      </c>
      <c r="Q67">
        <v>0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8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1">
        <v>55</v>
      </c>
      <c r="M68">
        <v>20</v>
      </c>
      <c r="N68">
        <v>15</v>
      </c>
      <c r="O68">
        <v>30</v>
      </c>
      <c r="P68">
        <v>3</v>
      </c>
      <c r="Q68">
        <v>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8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1">
        <v>69</v>
      </c>
      <c r="M69">
        <v>50</v>
      </c>
      <c r="N69">
        <v>25</v>
      </c>
      <c r="O69">
        <v>33</v>
      </c>
      <c r="P69">
        <v>3</v>
      </c>
      <c r="Q69">
        <v>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8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1">
        <v>83</v>
      </c>
      <c r="M70">
        <v>57</v>
      </c>
      <c r="N70">
        <v>40</v>
      </c>
      <c r="O70">
        <v>33</v>
      </c>
      <c r="P70">
        <v>3</v>
      </c>
      <c r="Q70">
        <v>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8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34</v>
      </c>
      <c r="M71">
        <v>15</v>
      </c>
      <c r="N71">
        <v>5</v>
      </c>
      <c r="O71">
        <v>25</v>
      </c>
      <c r="P71">
        <v>1</v>
      </c>
      <c r="Q71">
        <v>0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8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1">
        <v>39</v>
      </c>
      <c r="M72">
        <v>32</v>
      </c>
      <c r="N72">
        <v>10</v>
      </c>
      <c r="O72">
        <v>30</v>
      </c>
      <c r="P72">
        <v>1</v>
      </c>
      <c r="Q72">
        <v>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8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1">
        <v>45</v>
      </c>
      <c r="M73">
        <v>49</v>
      </c>
      <c r="N73">
        <v>15</v>
      </c>
      <c r="O73">
        <v>35</v>
      </c>
      <c r="P73">
        <v>1</v>
      </c>
      <c r="Q73">
        <v>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8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50</v>
      </c>
      <c r="M74">
        <v>71</v>
      </c>
      <c r="N74">
        <v>20</v>
      </c>
      <c r="O74">
        <v>35</v>
      </c>
      <c r="P74">
        <v>1</v>
      </c>
      <c r="Q74">
        <v>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8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51</v>
      </c>
      <c r="M75">
        <v>30</v>
      </c>
      <c r="N75">
        <v>8</v>
      </c>
      <c r="O75">
        <v>35</v>
      </c>
      <c r="P75">
        <v>1</v>
      </c>
      <c r="Q75">
        <v>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8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1">
        <v>60</v>
      </c>
      <c r="M76">
        <v>60</v>
      </c>
      <c r="N76">
        <v>16</v>
      </c>
      <c r="O76">
        <v>35</v>
      </c>
      <c r="P76">
        <v>1</v>
      </c>
      <c r="Q76">
        <v>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8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1">
        <v>69</v>
      </c>
      <c r="M77">
        <v>75</v>
      </c>
      <c r="N77">
        <v>35</v>
      </c>
      <c r="O77">
        <v>35</v>
      </c>
      <c r="P77">
        <v>2</v>
      </c>
      <c r="Q77">
        <v>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8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1">
        <v>76</v>
      </c>
      <c r="M78">
        <v>82</v>
      </c>
      <c r="N78">
        <v>42</v>
      </c>
      <c r="O78">
        <v>35</v>
      </c>
      <c r="P78">
        <v>2</v>
      </c>
      <c r="Q78">
        <v>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8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1">
        <v>56</v>
      </c>
      <c r="M79">
        <v>10</v>
      </c>
      <c r="N79">
        <v>10</v>
      </c>
      <c r="O79">
        <v>18</v>
      </c>
      <c r="P79">
        <v>1</v>
      </c>
      <c r="Q79">
        <v>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8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1">
        <v>67</v>
      </c>
      <c r="M80">
        <v>10</v>
      </c>
      <c r="N80">
        <v>10</v>
      </c>
      <c r="O80">
        <v>20</v>
      </c>
      <c r="P80">
        <v>1</v>
      </c>
      <c r="Q80">
        <v>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8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1">
        <v>76</v>
      </c>
      <c r="M81">
        <v>10</v>
      </c>
      <c r="N81">
        <v>12</v>
      </c>
      <c r="O81">
        <v>22</v>
      </c>
      <c r="P81">
        <v>1</v>
      </c>
      <c r="Q81">
        <v>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8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1">
        <v>84</v>
      </c>
      <c r="M82">
        <v>10</v>
      </c>
      <c r="N82">
        <v>15</v>
      </c>
      <c r="O82">
        <v>25</v>
      </c>
      <c r="P82">
        <v>1</v>
      </c>
      <c r="Q82">
        <v>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8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>
        <v>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8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52</v>
      </c>
      <c r="M84">
        <v>45</v>
      </c>
      <c r="N84">
        <v>50</v>
      </c>
      <c r="O84">
        <v>32</v>
      </c>
      <c r="P84">
        <v>1</v>
      </c>
      <c r="Q84">
        <v>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8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1">
        <v>65</v>
      </c>
      <c r="M85">
        <v>50</v>
      </c>
      <c r="N85">
        <v>55</v>
      </c>
      <c r="O85">
        <v>32</v>
      </c>
      <c r="P85">
        <v>1</v>
      </c>
      <c r="Q85">
        <v>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8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1">
        <v>73</v>
      </c>
      <c r="M86">
        <v>55</v>
      </c>
      <c r="N86">
        <v>60</v>
      </c>
      <c r="O86">
        <v>32</v>
      </c>
      <c r="P86">
        <v>1</v>
      </c>
      <c r="Q86">
        <v>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8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1">
        <v>61</v>
      </c>
      <c r="M87">
        <v>45</v>
      </c>
      <c r="N87">
        <v>30</v>
      </c>
      <c r="O87">
        <v>30</v>
      </c>
      <c r="P87">
        <v>3</v>
      </c>
      <c r="Q87">
        <v>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8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1">
        <v>69</v>
      </c>
      <c r="M88">
        <v>55</v>
      </c>
      <c r="N88">
        <v>35</v>
      </c>
      <c r="O88">
        <v>33</v>
      </c>
      <c r="P88">
        <v>3</v>
      </c>
      <c r="Q88">
        <v>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8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1">
        <v>79</v>
      </c>
      <c r="M89">
        <v>65</v>
      </c>
      <c r="N89">
        <v>45</v>
      </c>
      <c r="O89">
        <v>36</v>
      </c>
      <c r="P89">
        <v>3</v>
      </c>
      <c r="Q89">
        <v>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8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1">
        <v>86</v>
      </c>
      <c r="M90">
        <v>75</v>
      </c>
      <c r="N90">
        <v>50</v>
      </c>
      <c r="O90">
        <v>40</v>
      </c>
      <c r="P90">
        <v>3</v>
      </c>
      <c r="Q90">
        <v>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8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1">
        <v>57</v>
      </c>
      <c r="M91">
        <v>40</v>
      </c>
      <c r="N91">
        <v>20</v>
      </c>
      <c r="O91">
        <v>30</v>
      </c>
      <c r="P91">
        <v>2</v>
      </c>
      <c r="Q91">
        <v>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8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1">
        <v>64</v>
      </c>
      <c r="M92">
        <v>50</v>
      </c>
      <c r="N92">
        <v>25</v>
      </c>
      <c r="O92">
        <v>30</v>
      </c>
      <c r="P92">
        <v>2</v>
      </c>
      <c r="Q92">
        <v>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8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1">
        <v>73</v>
      </c>
      <c r="M93">
        <v>55</v>
      </c>
      <c r="N93">
        <v>30</v>
      </c>
      <c r="O93">
        <v>35</v>
      </c>
      <c r="P93">
        <v>2</v>
      </c>
      <c r="Q93">
        <v>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8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1">
        <v>80</v>
      </c>
      <c r="M94">
        <v>60</v>
      </c>
      <c r="N94">
        <v>35</v>
      </c>
      <c r="O94">
        <v>35</v>
      </c>
      <c r="P94">
        <v>2</v>
      </c>
      <c r="Q94">
        <v>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8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1">
        <v>56</v>
      </c>
      <c r="M95">
        <v>45</v>
      </c>
      <c r="N95">
        <v>41</v>
      </c>
      <c r="O95">
        <v>30</v>
      </c>
      <c r="P95">
        <v>2</v>
      </c>
      <c r="Q95">
        <v>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8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1">
        <v>67</v>
      </c>
      <c r="M96">
        <v>50</v>
      </c>
      <c r="N96">
        <v>49</v>
      </c>
      <c r="O96">
        <v>30</v>
      </c>
      <c r="P96">
        <v>2</v>
      </c>
      <c r="Q96">
        <v>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8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1">
        <v>72</v>
      </c>
      <c r="M97">
        <v>55</v>
      </c>
      <c r="N97">
        <v>52</v>
      </c>
      <c r="O97">
        <v>36</v>
      </c>
      <c r="P97">
        <v>2</v>
      </c>
      <c r="Q97">
        <v>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8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1">
        <v>79</v>
      </c>
      <c r="M98">
        <v>60</v>
      </c>
      <c r="N98">
        <v>62</v>
      </c>
      <c r="O98">
        <v>36</v>
      </c>
      <c r="P98">
        <v>2</v>
      </c>
      <c r="Q98">
        <v>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7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2313</v>
      </c>
      <c r="B99" t="s">
        <v>2314</v>
      </c>
      <c r="C99" t="s">
        <v>2315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>
        <v>0</v>
      </c>
      <c r="R99" t="s">
        <v>227</v>
      </c>
      <c r="S99" t="s">
        <v>2316</v>
      </c>
      <c r="T99" t="s">
        <v>2143</v>
      </c>
      <c r="U99" t="s">
        <v>2317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2318</v>
      </c>
    </row>
    <row r="100" spans="1:30" x14ac:dyDescent="0.2">
      <c r="A100" s="2" t="s">
        <v>2319</v>
      </c>
      <c r="B100" t="s">
        <v>2314</v>
      </c>
      <c r="C100" t="s">
        <v>2320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>
        <v>0</v>
      </c>
      <c r="R100" t="s">
        <v>227</v>
      </c>
      <c r="S100" t="s">
        <v>2316</v>
      </c>
      <c r="T100" t="s">
        <v>2143</v>
      </c>
      <c r="U100" t="s">
        <v>2317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2318</v>
      </c>
    </row>
    <row r="101" spans="1:30" x14ac:dyDescent="0.2">
      <c r="A101" s="2" t="s">
        <v>2321</v>
      </c>
      <c r="B101" t="s">
        <v>2314</v>
      </c>
      <c r="C101" t="s">
        <v>2322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>
        <v>0</v>
      </c>
      <c r="R101" t="s">
        <v>227</v>
      </c>
      <c r="S101" t="s">
        <v>2316</v>
      </c>
      <c r="T101" t="s">
        <v>2143</v>
      </c>
      <c r="U101" t="s">
        <v>2317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2318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8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1">
        <v>56</v>
      </c>
      <c r="M102">
        <v>42</v>
      </c>
      <c r="N102">
        <v>20</v>
      </c>
      <c r="O102">
        <v>35</v>
      </c>
      <c r="P102">
        <v>1</v>
      </c>
      <c r="Q102">
        <v>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8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1">
        <v>67</v>
      </c>
      <c r="M103">
        <v>50</v>
      </c>
      <c r="N103">
        <v>30</v>
      </c>
      <c r="O103">
        <v>35</v>
      </c>
      <c r="P103">
        <v>1</v>
      </c>
      <c r="Q103">
        <v>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8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1">
        <v>76</v>
      </c>
      <c r="M104">
        <v>70</v>
      </c>
      <c r="N104">
        <v>35</v>
      </c>
      <c r="O104">
        <v>35</v>
      </c>
      <c r="P104">
        <v>1</v>
      </c>
      <c r="Q104">
        <v>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8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81</v>
      </c>
      <c r="M105">
        <v>90</v>
      </c>
      <c r="N105">
        <v>40</v>
      </c>
      <c r="O105">
        <v>35</v>
      </c>
      <c r="P105">
        <v>1</v>
      </c>
      <c r="Q105">
        <v>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8" customFormat="1" x14ac:dyDescent="0.2">
      <c r="A106" s="9" t="s">
        <v>2649</v>
      </c>
      <c r="B106" s="8" t="s">
        <v>210</v>
      </c>
      <c r="C106" s="8" t="s">
        <v>2650</v>
      </c>
      <c r="D106" s="8" t="s">
        <v>91</v>
      </c>
      <c r="E106" s="8">
        <v>1</v>
      </c>
      <c r="F106" s="8">
        <v>10</v>
      </c>
      <c r="G106" s="8">
        <v>20</v>
      </c>
      <c r="H106" s="8">
        <v>0</v>
      </c>
      <c r="I106" s="8">
        <v>10</v>
      </c>
      <c r="J106" s="8">
        <v>20</v>
      </c>
      <c r="K106" s="8">
        <v>0</v>
      </c>
      <c r="L106" s="4">
        <v>0</v>
      </c>
      <c r="M106" s="8">
        <v>50</v>
      </c>
      <c r="N106" s="8">
        <v>15</v>
      </c>
      <c r="O106" s="8">
        <v>15</v>
      </c>
      <c r="P106" s="8">
        <v>1</v>
      </c>
      <c r="Q106" s="8">
        <v>0</v>
      </c>
      <c r="V106" s="31">
        <f t="shared" si="3"/>
        <v>0</v>
      </c>
      <c r="W106" s="8">
        <v>0</v>
      </c>
      <c r="X106" s="8">
        <v>0</v>
      </c>
      <c r="Y106" s="8">
        <v>0</v>
      </c>
      <c r="Z106" s="8">
        <v>0</v>
      </c>
    </row>
    <row r="107" spans="1:30" x14ac:dyDescent="0.2">
      <c r="A107" s="2" t="s">
        <v>369</v>
      </c>
      <c r="B107" t="s">
        <v>212</v>
      </c>
      <c r="C107" t="s">
        <v>192</v>
      </c>
      <c r="D107" t="s">
        <v>91</v>
      </c>
      <c r="E107" s="8">
        <v>40</v>
      </c>
      <c r="F107">
        <v>28</v>
      </c>
      <c r="G107">
        <v>20</v>
      </c>
      <c r="H107">
        <v>38</v>
      </c>
      <c r="I107">
        <v>26</v>
      </c>
      <c r="J107">
        <v>10</v>
      </c>
      <c r="K107">
        <v>0</v>
      </c>
      <c r="L107" s="1">
        <v>50</v>
      </c>
      <c r="M107">
        <v>42</v>
      </c>
      <c r="N107">
        <v>20</v>
      </c>
      <c r="O107">
        <v>35</v>
      </c>
      <c r="P107">
        <v>1</v>
      </c>
      <c r="Q107">
        <v>0</v>
      </c>
      <c r="R107" t="s">
        <v>306</v>
      </c>
      <c r="S107" t="s">
        <v>310</v>
      </c>
      <c r="T107" t="s">
        <v>310</v>
      </c>
      <c r="V107" s="1">
        <f t="shared" si="3"/>
        <v>24</v>
      </c>
      <c r="W107" s="1">
        <v>8</v>
      </c>
      <c r="X107" s="1">
        <v>8</v>
      </c>
      <c r="Y107" s="1">
        <v>8</v>
      </c>
      <c r="Z107">
        <v>0</v>
      </c>
    </row>
    <row r="108" spans="1:30" x14ac:dyDescent="0.2">
      <c r="A108" s="2" t="s">
        <v>469</v>
      </c>
      <c r="B108" t="s">
        <v>212</v>
      </c>
      <c r="C108" t="s">
        <v>193</v>
      </c>
      <c r="D108" t="s">
        <v>91</v>
      </c>
      <c r="E108" s="8">
        <v>60</v>
      </c>
      <c r="F108">
        <v>37</v>
      </c>
      <c r="G108">
        <v>31</v>
      </c>
      <c r="H108">
        <v>46</v>
      </c>
      <c r="I108">
        <v>36</v>
      </c>
      <c r="J108">
        <v>20</v>
      </c>
      <c r="K108">
        <v>10</v>
      </c>
      <c r="L108" s="1">
        <v>56</v>
      </c>
      <c r="M108">
        <v>50</v>
      </c>
      <c r="N108">
        <v>30</v>
      </c>
      <c r="O108">
        <v>35</v>
      </c>
      <c r="P108">
        <v>1</v>
      </c>
      <c r="Q108">
        <v>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470</v>
      </c>
      <c r="B109" t="s">
        <v>212</v>
      </c>
      <c r="C109" t="s">
        <v>194</v>
      </c>
      <c r="D109" t="s">
        <v>91</v>
      </c>
      <c r="E109" s="8">
        <v>75</v>
      </c>
      <c r="F109">
        <v>48</v>
      </c>
      <c r="G109">
        <v>39</v>
      </c>
      <c r="H109">
        <v>69</v>
      </c>
      <c r="I109">
        <v>47</v>
      </c>
      <c r="J109">
        <v>30</v>
      </c>
      <c r="K109">
        <v>20</v>
      </c>
      <c r="L109" s="1">
        <v>60</v>
      </c>
      <c r="M109">
        <v>70</v>
      </c>
      <c r="N109">
        <v>35</v>
      </c>
      <c r="O109">
        <v>35</v>
      </c>
      <c r="P109">
        <v>1</v>
      </c>
      <c r="Q109">
        <v>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471</v>
      </c>
      <c r="B110" t="s">
        <v>212</v>
      </c>
      <c r="C110" t="s">
        <v>195</v>
      </c>
      <c r="D110" t="s">
        <v>91</v>
      </c>
      <c r="E110" s="8">
        <v>85</v>
      </c>
      <c r="F110">
        <v>58</v>
      </c>
      <c r="G110">
        <v>48</v>
      </c>
      <c r="H110">
        <v>90</v>
      </c>
      <c r="I110">
        <v>58</v>
      </c>
      <c r="J110">
        <v>50</v>
      </c>
      <c r="K110">
        <v>30</v>
      </c>
      <c r="L110" s="1">
        <v>65</v>
      </c>
      <c r="M110">
        <v>90</v>
      </c>
      <c r="N110">
        <v>40</v>
      </c>
      <c r="O110">
        <v>35</v>
      </c>
      <c r="P110">
        <v>1</v>
      </c>
      <c r="Q110">
        <v>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370</v>
      </c>
      <c r="B111" t="s">
        <v>213</v>
      </c>
      <c r="C111" t="s">
        <v>196</v>
      </c>
      <c r="D111" t="s">
        <v>91</v>
      </c>
      <c r="E111" s="8">
        <v>60</v>
      </c>
      <c r="F111">
        <v>60</v>
      </c>
      <c r="G111">
        <v>85</v>
      </c>
      <c r="H111">
        <v>0</v>
      </c>
      <c r="I111">
        <v>60</v>
      </c>
      <c r="J111">
        <v>30</v>
      </c>
      <c r="K111">
        <v>0</v>
      </c>
      <c r="L111" s="1">
        <v>69</v>
      </c>
      <c r="M111">
        <v>20</v>
      </c>
      <c r="N111">
        <v>15</v>
      </c>
      <c r="O111">
        <v>30</v>
      </c>
      <c r="P111">
        <v>3</v>
      </c>
      <c r="Q111">
        <v>0</v>
      </c>
      <c r="R111" t="s">
        <v>307</v>
      </c>
      <c r="S111" t="s">
        <v>311</v>
      </c>
      <c r="T111" t="s">
        <v>311</v>
      </c>
      <c r="U111" t="s">
        <v>227</v>
      </c>
      <c r="V111">
        <f t="shared" si="3"/>
        <v>12</v>
      </c>
      <c r="W111">
        <v>3</v>
      </c>
      <c r="X111">
        <v>3</v>
      </c>
      <c r="Y111">
        <v>3</v>
      </c>
      <c r="Z111">
        <v>3</v>
      </c>
    </row>
    <row r="112" spans="1:30" x14ac:dyDescent="0.2">
      <c r="A112" s="2" t="s">
        <v>472</v>
      </c>
      <c r="B112" t="s">
        <v>213</v>
      </c>
      <c r="C112" t="s">
        <v>197</v>
      </c>
      <c r="D112" t="s">
        <v>91</v>
      </c>
      <c r="E112" s="8">
        <v>75</v>
      </c>
      <c r="F112">
        <v>76</v>
      </c>
      <c r="G112">
        <v>90</v>
      </c>
      <c r="H112">
        <v>0</v>
      </c>
      <c r="I112">
        <v>70</v>
      </c>
      <c r="J112">
        <v>40</v>
      </c>
      <c r="K112">
        <v>0</v>
      </c>
      <c r="L112" s="1">
        <v>77</v>
      </c>
      <c r="M112">
        <v>50</v>
      </c>
      <c r="N112">
        <v>20</v>
      </c>
      <c r="O112">
        <v>33</v>
      </c>
      <c r="P112">
        <v>3</v>
      </c>
      <c r="Q112">
        <v>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473</v>
      </c>
      <c r="B113" t="s">
        <v>213</v>
      </c>
      <c r="C113" t="s">
        <v>198</v>
      </c>
      <c r="D113" t="s">
        <v>91</v>
      </c>
      <c r="E113" s="8">
        <v>90</v>
      </c>
      <c r="F113">
        <v>88</v>
      </c>
      <c r="G113">
        <v>110</v>
      </c>
      <c r="H113">
        <v>0</v>
      </c>
      <c r="I113">
        <v>80</v>
      </c>
      <c r="J113">
        <v>50</v>
      </c>
      <c r="K113">
        <v>0</v>
      </c>
      <c r="L113" s="1">
        <v>85</v>
      </c>
      <c r="M113">
        <v>57</v>
      </c>
      <c r="N113">
        <v>30</v>
      </c>
      <c r="O113">
        <v>33</v>
      </c>
      <c r="P113">
        <v>3</v>
      </c>
      <c r="Q113">
        <v>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474</v>
      </c>
      <c r="B114" t="s">
        <v>214</v>
      </c>
      <c r="C114" t="s">
        <v>199</v>
      </c>
      <c r="D114" t="s">
        <v>91</v>
      </c>
      <c r="E114" s="8">
        <v>40</v>
      </c>
      <c r="F114">
        <v>75</v>
      </c>
      <c r="G114">
        <v>71</v>
      </c>
      <c r="H114">
        <v>0</v>
      </c>
      <c r="I114">
        <v>80</v>
      </c>
      <c r="J114">
        <v>40</v>
      </c>
      <c r="K114">
        <v>0</v>
      </c>
      <c r="L114" s="1">
        <v>61</v>
      </c>
      <c r="M114">
        <v>47</v>
      </c>
      <c r="N114">
        <v>30</v>
      </c>
      <c r="O114">
        <v>30</v>
      </c>
      <c r="P114">
        <v>3</v>
      </c>
      <c r="Q114">
        <v>0</v>
      </c>
      <c r="R114" t="s">
        <v>308</v>
      </c>
      <c r="S114" t="s">
        <v>312</v>
      </c>
      <c r="T114" t="s">
        <v>312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475</v>
      </c>
      <c r="B115" t="s">
        <v>214</v>
      </c>
      <c r="C115" t="s">
        <v>200</v>
      </c>
      <c r="D115" t="s">
        <v>91</v>
      </c>
      <c r="E115" s="8">
        <v>60</v>
      </c>
      <c r="F115">
        <v>88</v>
      </c>
      <c r="G115">
        <v>82</v>
      </c>
      <c r="H115">
        <v>0</v>
      </c>
      <c r="I115">
        <v>95</v>
      </c>
      <c r="J115">
        <v>50</v>
      </c>
      <c r="K115">
        <v>0</v>
      </c>
      <c r="L115" s="1">
        <v>71</v>
      </c>
      <c r="M115">
        <v>57</v>
      </c>
      <c r="N115">
        <v>35</v>
      </c>
      <c r="O115">
        <v>33</v>
      </c>
      <c r="P115">
        <v>3</v>
      </c>
      <c r="Q115">
        <v>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476</v>
      </c>
      <c r="B116" t="s">
        <v>214</v>
      </c>
      <c r="C116" t="s">
        <v>201</v>
      </c>
      <c r="D116" t="s">
        <v>91</v>
      </c>
      <c r="E116" s="8">
        <v>75</v>
      </c>
      <c r="F116">
        <v>100</v>
      </c>
      <c r="G116">
        <v>93</v>
      </c>
      <c r="H116">
        <v>0</v>
      </c>
      <c r="I116">
        <v>105</v>
      </c>
      <c r="J116">
        <v>55</v>
      </c>
      <c r="K116">
        <v>0</v>
      </c>
      <c r="L116" s="1">
        <v>79</v>
      </c>
      <c r="M116">
        <v>67</v>
      </c>
      <c r="N116">
        <v>40</v>
      </c>
      <c r="O116">
        <v>36</v>
      </c>
      <c r="P116">
        <v>3</v>
      </c>
      <c r="Q116">
        <v>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477</v>
      </c>
      <c r="B117" t="s">
        <v>214</v>
      </c>
      <c r="C117" t="s">
        <v>202</v>
      </c>
      <c r="D117" t="s">
        <v>91</v>
      </c>
      <c r="E117" s="8">
        <v>90</v>
      </c>
      <c r="F117">
        <v>125</v>
      </c>
      <c r="G117">
        <v>110</v>
      </c>
      <c r="H117">
        <v>0</v>
      </c>
      <c r="I117">
        <v>116</v>
      </c>
      <c r="J117">
        <v>66</v>
      </c>
      <c r="K117">
        <v>0</v>
      </c>
      <c r="L117" s="1">
        <v>86</v>
      </c>
      <c r="M117">
        <v>77</v>
      </c>
      <c r="N117">
        <v>45</v>
      </c>
      <c r="O117">
        <v>40</v>
      </c>
      <c r="P117">
        <v>3</v>
      </c>
      <c r="Q117">
        <v>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9" t="s">
        <v>1676</v>
      </c>
      <c r="B118" t="s">
        <v>206</v>
      </c>
      <c r="C118" t="s">
        <v>1671</v>
      </c>
      <c r="D118" t="s">
        <v>91</v>
      </c>
      <c r="E118" s="8">
        <v>100</v>
      </c>
      <c r="F118">
        <v>286</v>
      </c>
      <c r="G118">
        <v>171</v>
      </c>
      <c r="H118">
        <v>0</v>
      </c>
      <c r="I118">
        <v>205</v>
      </c>
      <c r="J118">
        <v>60</v>
      </c>
      <c r="K118">
        <v>0</v>
      </c>
      <c r="L118" s="4">
        <v>95</v>
      </c>
      <c r="M118">
        <v>60</v>
      </c>
      <c r="N118">
        <v>56</v>
      </c>
      <c r="O118">
        <v>28</v>
      </c>
      <c r="P118">
        <v>4</v>
      </c>
      <c r="Q118">
        <v>0</v>
      </c>
      <c r="R118" t="s">
        <v>525</v>
      </c>
      <c r="S118" t="s">
        <v>503</v>
      </c>
      <c r="T118" t="s">
        <v>227</v>
      </c>
      <c r="U118" t="s">
        <v>1829</v>
      </c>
      <c r="V118">
        <f t="shared" si="3"/>
        <v>0</v>
      </c>
      <c r="W118">
        <v>0</v>
      </c>
      <c r="X118">
        <v>0</v>
      </c>
      <c r="Y118">
        <v>0</v>
      </c>
      <c r="Z118">
        <v>0</v>
      </c>
    </row>
    <row r="119" spans="1:30" x14ac:dyDescent="0.2">
      <c r="A119" s="9" t="s">
        <v>1677</v>
      </c>
      <c r="B119" t="s">
        <v>1675</v>
      </c>
      <c r="C119" t="s">
        <v>1674</v>
      </c>
      <c r="D119" t="s">
        <v>91</v>
      </c>
      <c r="E119" s="8">
        <v>100</v>
      </c>
      <c r="F119">
        <v>666</v>
      </c>
      <c r="G119">
        <v>150</v>
      </c>
      <c r="H119">
        <v>0</v>
      </c>
      <c r="I119">
        <v>0</v>
      </c>
      <c r="J119">
        <v>100</v>
      </c>
      <c r="K119">
        <v>0</v>
      </c>
      <c r="L119" s="4">
        <v>87</v>
      </c>
      <c r="M119">
        <v>4</v>
      </c>
      <c r="N119">
        <v>63</v>
      </c>
      <c r="O119">
        <v>1</v>
      </c>
      <c r="P119">
        <v>4</v>
      </c>
      <c r="Q119">
        <v>0</v>
      </c>
      <c r="R119" t="s">
        <v>227</v>
      </c>
      <c r="S119" t="s">
        <v>227</v>
      </c>
      <c r="T119" t="s">
        <v>1665</v>
      </c>
      <c r="U119" t="s">
        <v>639</v>
      </c>
      <c r="V119">
        <f t="shared" si="3"/>
        <v>120</v>
      </c>
      <c r="W119">
        <v>30</v>
      </c>
      <c r="X119">
        <v>30</v>
      </c>
      <c r="Y119">
        <v>30</v>
      </c>
      <c r="Z119">
        <v>30</v>
      </c>
    </row>
    <row r="120" spans="1:30" x14ac:dyDescent="0.2">
      <c r="A120" s="9" t="s">
        <v>1678</v>
      </c>
      <c r="B120" t="s">
        <v>205</v>
      </c>
      <c r="C120" t="s">
        <v>1672</v>
      </c>
      <c r="D120" t="s">
        <v>91</v>
      </c>
      <c r="E120" s="8">
        <v>20</v>
      </c>
      <c r="F120">
        <v>152</v>
      </c>
      <c r="G120">
        <v>36</v>
      </c>
      <c r="H120">
        <v>20</v>
      </c>
      <c r="I120">
        <v>33</v>
      </c>
      <c r="J120">
        <v>22</v>
      </c>
      <c r="K120">
        <v>0</v>
      </c>
      <c r="L120" s="4">
        <v>46</v>
      </c>
      <c r="M120">
        <v>30</v>
      </c>
      <c r="N120">
        <v>14</v>
      </c>
      <c r="O120">
        <v>33</v>
      </c>
      <c r="P120">
        <v>2</v>
      </c>
      <c r="Q120">
        <v>0</v>
      </c>
      <c r="R120" t="s">
        <v>223</v>
      </c>
      <c r="S120" t="s">
        <v>224</v>
      </c>
      <c r="V120">
        <f t="shared" si="3"/>
        <v>12</v>
      </c>
      <c r="W120">
        <v>3</v>
      </c>
      <c r="X120">
        <v>3</v>
      </c>
      <c r="Y120">
        <v>3</v>
      </c>
      <c r="Z120">
        <v>3</v>
      </c>
    </row>
    <row r="121" spans="1:30" x14ac:dyDescent="0.2">
      <c r="A121" s="9" t="s">
        <v>1679</v>
      </c>
      <c r="B121" t="s">
        <v>209</v>
      </c>
      <c r="C121" t="s">
        <v>1673</v>
      </c>
      <c r="D121" t="s">
        <v>91</v>
      </c>
      <c r="E121" s="8">
        <v>25</v>
      </c>
      <c r="F121">
        <v>102</v>
      </c>
      <c r="G121">
        <v>65</v>
      </c>
      <c r="H121">
        <v>0</v>
      </c>
      <c r="I121">
        <v>37</v>
      </c>
      <c r="J121">
        <v>36</v>
      </c>
      <c r="K121">
        <v>0</v>
      </c>
      <c r="L121" s="4">
        <v>52</v>
      </c>
      <c r="M121">
        <v>37</v>
      </c>
      <c r="N121">
        <v>25</v>
      </c>
      <c r="O121">
        <v>32</v>
      </c>
      <c r="P121">
        <v>3</v>
      </c>
      <c r="Q121">
        <v>0</v>
      </c>
      <c r="R121" t="s">
        <v>227</v>
      </c>
      <c r="S121" t="s">
        <v>227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20" t="s">
        <v>2004</v>
      </c>
      <c r="B122" t="s">
        <v>206</v>
      </c>
      <c r="C122" t="s">
        <v>2010</v>
      </c>
      <c r="D122" t="s">
        <v>91</v>
      </c>
      <c r="E122" s="8">
        <v>110</v>
      </c>
      <c r="F122">
        <v>520</v>
      </c>
      <c r="G122">
        <v>165</v>
      </c>
      <c r="H122">
        <v>0</v>
      </c>
      <c r="I122">
        <v>160</v>
      </c>
      <c r="J122">
        <v>70</v>
      </c>
      <c r="K122">
        <v>0</v>
      </c>
      <c r="L122" s="4">
        <v>92</v>
      </c>
      <c r="M122">
        <v>58</v>
      </c>
      <c r="N122">
        <v>44</v>
      </c>
      <c r="O122">
        <v>28</v>
      </c>
      <c r="P122">
        <v>4</v>
      </c>
      <c r="Q122">
        <v>0</v>
      </c>
      <c r="R122" t="s">
        <v>2498</v>
      </c>
      <c r="S122" t="s">
        <v>503</v>
      </c>
      <c r="T122" t="s">
        <v>227</v>
      </c>
      <c r="U122" t="s">
        <v>594</v>
      </c>
      <c r="V122">
        <f t="shared" si="3"/>
        <v>0</v>
      </c>
      <c r="W122">
        <v>0</v>
      </c>
      <c r="X122">
        <v>0</v>
      </c>
      <c r="Y122">
        <v>0</v>
      </c>
      <c r="Z122">
        <v>0</v>
      </c>
      <c r="AD122" t="s">
        <v>2293</v>
      </c>
    </row>
    <row r="123" spans="1:30" x14ac:dyDescent="0.2">
      <c r="A123" s="20" t="s">
        <v>2005</v>
      </c>
      <c r="B123" t="s">
        <v>206</v>
      </c>
      <c r="C123" t="s">
        <v>1579</v>
      </c>
      <c r="D123" t="s">
        <v>91</v>
      </c>
      <c r="E123" s="8">
        <v>110</v>
      </c>
      <c r="F123">
        <v>288</v>
      </c>
      <c r="G123">
        <v>177</v>
      </c>
      <c r="H123">
        <v>0</v>
      </c>
      <c r="I123">
        <v>160</v>
      </c>
      <c r="J123">
        <v>100</v>
      </c>
      <c r="K123">
        <v>0</v>
      </c>
      <c r="L123" s="4">
        <v>92</v>
      </c>
      <c r="M123">
        <v>75</v>
      </c>
      <c r="N123">
        <v>44</v>
      </c>
      <c r="O123">
        <v>30</v>
      </c>
      <c r="P123">
        <v>4</v>
      </c>
      <c r="Q123">
        <v>0</v>
      </c>
      <c r="R123" t="s">
        <v>525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2293</v>
      </c>
    </row>
    <row r="124" spans="1:30" x14ac:dyDescent="0.2">
      <c r="A124" s="20" t="s">
        <v>2006</v>
      </c>
      <c r="B124" t="s">
        <v>1675</v>
      </c>
      <c r="C124" t="s">
        <v>2014</v>
      </c>
      <c r="D124" t="s">
        <v>91</v>
      </c>
      <c r="E124" s="8">
        <v>110</v>
      </c>
      <c r="F124">
        <v>666</v>
      </c>
      <c r="G124">
        <v>20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0</v>
      </c>
      <c r="N124">
        <v>65</v>
      </c>
      <c r="O124">
        <v>1</v>
      </c>
      <c r="P124">
        <v>4</v>
      </c>
      <c r="Q124">
        <v>0</v>
      </c>
      <c r="R124" t="s">
        <v>240</v>
      </c>
      <c r="S124" t="s">
        <v>218</v>
      </c>
      <c r="T124" t="s">
        <v>218</v>
      </c>
      <c r="U124" t="s">
        <v>218</v>
      </c>
      <c r="V124">
        <f t="shared" si="3"/>
        <v>120</v>
      </c>
      <c r="W124">
        <v>30</v>
      </c>
      <c r="X124">
        <v>30</v>
      </c>
      <c r="Y124">
        <v>30</v>
      </c>
      <c r="Z124">
        <v>30</v>
      </c>
      <c r="AD124" t="s">
        <v>2293</v>
      </c>
    </row>
    <row r="125" spans="1:30" x14ac:dyDescent="0.2">
      <c r="A125" s="20" t="s">
        <v>2007</v>
      </c>
      <c r="B125" t="s">
        <v>206</v>
      </c>
      <c r="C125" t="s">
        <v>2011</v>
      </c>
      <c r="D125" t="s">
        <v>91</v>
      </c>
      <c r="E125" s="8">
        <v>110</v>
      </c>
      <c r="F125">
        <v>233</v>
      </c>
      <c r="G125">
        <v>180</v>
      </c>
      <c r="H125">
        <v>0</v>
      </c>
      <c r="I125">
        <v>160</v>
      </c>
      <c r="J125">
        <v>70</v>
      </c>
      <c r="K125">
        <v>0</v>
      </c>
      <c r="L125" s="4">
        <v>92</v>
      </c>
      <c r="M125">
        <v>78</v>
      </c>
      <c r="N125">
        <v>44</v>
      </c>
      <c r="O125">
        <v>28</v>
      </c>
      <c r="P125">
        <v>4</v>
      </c>
      <c r="Q125">
        <v>0</v>
      </c>
      <c r="R125" t="s">
        <v>525</v>
      </c>
      <c r="S125" t="s">
        <v>503</v>
      </c>
      <c r="T125" t="s">
        <v>227</v>
      </c>
      <c r="U125" t="s">
        <v>594</v>
      </c>
      <c r="V125">
        <f t="shared" si="3"/>
        <v>0</v>
      </c>
      <c r="W125">
        <v>0</v>
      </c>
      <c r="X125">
        <v>0</v>
      </c>
      <c r="Y125">
        <v>0</v>
      </c>
      <c r="Z125">
        <v>0</v>
      </c>
      <c r="AD125" t="s">
        <v>2293</v>
      </c>
    </row>
    <row r="126" spans="1:30" x14ac:dyDescent="0.2">
      <c r="A126" s="20" t="s">
        <v>2008</v>
      </c>
      <c r="B126" t="s">
        <v>209</v>
      </c>
      <c r="C126" t="s">
        <v>2012</v>
      </c>
      <c r="D126" t="s">
        <v>91</v>
      </c>
      <c r="E126" s="8">
        <v>110</v>
      </c>
      <c r="F126">
        <v>196</v>
      </c>
      <c r="G126">
        <v>130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48</v>
      </c>
      <c r="N126">
        <v>38</v>
      </c>
      <c r="O126">
        <v>32</v>
      </c>
      <c r="P126">
        <v>4</v>
      </c>
      <c r="Q126">
        <v>0</v>
      </c>
      <c r="R126" t="s">
        <v>715</v>
      </c>
      <c r="S126" t="s">
        <v>715</v>
      </c>
      <c r="T126" t="s">
        <v>591</v>
      </c>
      <c r="U126" t="s">
        <v>589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2293</v>
      </c>
    </row>
    <row r="127" spans="1:30" x14ac:dyDescent="0.2">
      <c r="A127" s="20" t="s">
        <v>2009</v>
      </c>
      <c r="B127" t="s">
        <v>209</v>
      </c>
      <c r="C127" t="s">
        <v>2013</v>
      </c>
      <c r="D127" t="s">
        <v>91</v>
      </c>
      <c r="E127" s="8">
        <v>110</v>
      </c>
      <c r="F127">
        <v>196</v>
      </c>
      <c r="G127">
        <v>110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66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2293</v>
      </c>
    </row>
    <row r="128" spans="1:30" x14ac:dyDescent="0.2">
      <c r="A128" s="9" t="s">
        <v>2075</v>
      </c>
      <c r="B128" t="s">
        <v>209</v>
      </c>
      <c r="C128" t="s">
        <v>2013</v>
      </c>
      <c r="D128" t="s">
        <v>91</v>
      </c>
      <c r="E128">
        <v>100</v>
      </c>
      <c r="F128">
        <v>2333</v>
      </c>
      <c r="G128">
        <v>145</v>
      </c>
      <c r="H128">
        <v>0</v>
      </c>
      <c r="I128">
        <v>105</v>
      </c>
      <c r="J128">
        <v>69</v>
      </c>
      <c r="K128">
        <v>0</v>
      </c>
      <c r="L128" s="1">
        <v>91</v>
      </c>
      <c r="M128">
        <v>2</v>
      </c>
      <c r="N128">
        <v>17</v>
      </c>
      <c r="O128">
        <v>19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ref="V128:V143" si="4">SUM($W128:$Z128)</f>
        <v>16</v>
      </c>
      <c r="W128">
        <v>4</v>
      </c>
      <c r="X128">
        <v>4</v>
      </c>
      <c r="Y128">
        <v>4</v>
      </c>
      <c r="Z128">
        <v>4</v>
      </c>
      <c r="AD128" t="s">
        <v>2291</v>
      </c>
    </row>
    <row r="129" spans="1:30" x14ac:dyDescent="0.2">
      <c r="A129" s="9" t="s">
        <v>2076</v>
      </c>
      <c r="B129" t="s">
        <v>209</v>
      </c>
      <c r="C129" t="s">
        <v>2077</v>
      </c>
      <c r="D129" t="s">
        <v>91</v>
      </c>
      <c r="E129">
        <v>69</v>
      </c>
      <c r="F129">
        <v>1000</v>
      </c>
      <c r="G129">
        <v>96</v>
      </c>
      <c r="H129">
        <v>0</v>
      </c>
      <c r="I129">
        <v>47</v>
      </c>
      <c r="J129">
        <v>52</v>
      </c>
      <c r="K129">
        <v>0</v>
      </c>
      <c r="L129" s="1">
        <v>75</v>
      </c>
      <c r="M129">
        <v>54</v>
      </c>
      <c r="N129">
        <v>33</v>
      </c>
      <c r="O129">
        <v>22</v>
      </c>
      <c r="P129">
        <v>3</v>
      </c>
      <c r="Q129">
        <v>0</v>
      </c>
      <c r="R129" t="s">
        <v>227</v>
      </c>
      <c r="S129" t="s">
        <v>227</v>
      </c>
      <c r="T129" t="s">
        <v>244</v>
      </c>
      <c r="U129" t="s">
        <v>247</v>
      </c>
      <c r="V129">
        <f t="shared" si="4"/>
        <v>12</v>
      </c>
      <c r="W129">
        <v>3</v>
      </c>
      <c r="X129">
        <v>3</v>
      </c>
      <c r="Y129">
        <v>3</v>
      </c>
      <c r="Z129">
        <v>3</v>
      </c>
      <c r="AD129" t="s">
        <v>2291</v>
      </c>
    </row>
    <row r="130" spans="1:30" x14ac:dyDescent="0.2">
      <c r="A130" s="9" t="s">
        <v>2078</v>
      </c>
      <c r="B130" t="s">
        <v>209</v>
      </c>
      <c r="C130" t="s">
        <v>2079</v>
      </c>
      <c r="D130" t="s">
        <v>91</v>
      </c>
      <c r="E130">
        <v>69</v>
      </c>
      <c r="F130">
        <v>1000</v>
      </c>
      <c r="G130">
        <v>95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2291</v>
      </c>
    </row>
    <row r="131" spans="1:30" x14ac:dyDescent="0.2">
      <c r="A131" s="9" t="s">
        <v>2080</v>
      </c>
      <c r="B131" t="s">
        <v>203</v>
      </c>
      <c r="C131" t="s">
        <v>2081</v>
      </c>
      <c r="D131" t="s">
        <v>91</v>
      </c>
      <c r="E131">
        <v>63</v>
      </c>
      <c r="F131">
        <v>110</v>
      </c>
      <c r="G131">
        <v>34</v>
      </c>
      <c r="H131">
        <v>78</v>
      </c>
      <c r="I131">
        <v>35</v>
      </c>
      <c r="J131">
        <v>37</v>
      </c>
      <c r="K131">
        <v>71</v>
      </c>
      <c r="L131" s="1">
        <v>62</v>
      </c>
      <c r="M131">
        <v>99</v>
      </c>
      <c r="N131">
        <v>24</v>
      </c>
      <c r="O131">
        <v>34</v>
      </c>
      <c r="P131">
        <v>2</v>
      </c>
      <c r="Q131">
        <v>0</v>
      </c>
      <c r="R131" t="s">
        <v>224</v>
      </c>
      <c r="S131" t="s">
        <v>233</v>
      </c>
      <c r="V131">
        <f t="shared" si="4"/>
        <v>0</v>
      </c>
      <c r="W131">
        <v>0</v>
      </c>
      <c r="X131">
        <v>0</v>
      </c>
      <c r="Y131">
        <v>0</v>
      </c>
      <c r="Z131">
        <v>0</v>
      </c>
      <c r="AD131" t="s">
        <v>2291</v>
      </c>
    </row>
    <row r="132" spans="1:30" x14ac:dyDescent="0.2">
      <c r="A132" s="9" t="s">
        <v>2134</v>
      </c>
      <c r="B132" t="s">
        <v>75</v>
      </c>
      <c r="C132" t="s">
        <v>2141</v>
      </c>
      <c r="D132" t="s">
        <v>91</v>
      </c>
      <c r="E132">
        <v>100</v>
      </c>
      <c r="F132">
        <v>388</v>
      </c>
      <c r="G132">
        <v>120</v>
      </c>
      <c r="H132">
        <v>0</v>
      </c>
      <c r="I132">
        <v>250</v>
      </c>
      <c r="J132">
        <v>120</v>
      </c>
      <c r="K132">
        <v>0</v>
      </c>
      <c r="L132" s="1">
        <v>92</v>
      </c>
      <c r="M132">
        <v>45</v>
      </c>
      <c r="N132">
        <v>55</v>
      </c>
      <c r="O132">
        <v>30</v>
      </c>
      <c r="P132">
        <v>1</v>
      </c>
      <c r="Q132">
        <v>0</v>
      </c>
      <c r="R132" t="s">
        <v>2142</v>
      </c>
      <c r="S132" t="s">
        <v>2142</v>
      </c>
      <c r="T132" t="s">
        <v>2142</v>
      </c>
      <c r="U132" t="s">
        <v>2143</v>
      </c>
      <c r="V132">
        <f t="shared" si="4"/>
        <v>120</v>
      </c>
      <c r="W132">
        <v>30</v>
      </c>
      <c r="X132">
        <v>30</v>
      </c>
      <c r="Y132">
        <v>30</v>
      </c>
      <c r="Z132">
        <v>30</v>
      </c>
      <c r="AD132" t="s">
        <v>2294</v>
      </c>
    </row>
    <row r="133" spans="1:30" x14ac:dyDescent="0.2">
      <c r="A133" s="9" t="s">
        <v>2135</v>
      </c>
      <c r="B133" t="s">
        <v>2144</v>
      </c>
      <c r="C133" t="s">
        <v>2145</v>
      </c>
      <c r="D133" t="s">
        <v>91</v>
      </c>
      <c r="E133">
        <v>100</v>
      </c>
      <c r="F133">
        <v>444</v>
      </c>
      <c r="G133">
        <v>108</v>
      </c>
      <c r="H133">
        <v>0</v>
      </c>
      <c r="I133">
        <v>0</v>
      </c>
      <c r="J133">
        <v>150</v>
      </c>
      <c r="K133">
        <v>0</v>
      </c>
      <c r="L133" s="1">
        <v>82</v>
      </c>
      <c r="M133">
        <v>0</v>
      </c>
      <c r="N133">
        <v>88</v>
      </c>
      <c r="O133">
        <v>1</v>
      </c>
      <c r="P133">
        <v>3</v>
      </c>
      <c r="Q133">
        <v>0</v>
      </c>
      <c r="R133" t="s">
        <v>1665</v>
      </c>
      <c r="S133" t="s">
        <v>1665</v>
      </c>
      <c r="T133" t="s">
        <v>2142</v>
      </c>
      <c r="U133" t="s">
        <v>2142</v>
      </c>
      <c r="V133">
        <f t="shared" si="4"/>
        <v>400</v>
      </c>
      <c r="W133">
        <v>100</v>
      </c>
      <c r="X133">
        <v>100</v>
      </c>
      <c r="Y133">
        <v>100</v>
      </c>
      <c r="Z133">
        <v>100</v>
      </c>
      <c r="AD133" t="s">
        <v>2294</v>
      </c>
    </row>
    <row r="134" spans="1:30" x14ac:dyDescent="0.2">
      <c r="A134" s="9" t="s">
        <v>2136</v>
      </c>
      <c r="B134" t="s">
        <v>206</v>
      </c>
      <c r="C134" t="s">
        <v>2146</v>
      </c>
      <c r="D134" t="s">
        <v>91</v>
      </c>
      <c r="E134">
        <v>100</v>
      </c>
      <c r="F134">
        <v>233</v>
      </c>
      <c r="G134">
        <v>200</v>
      </c>
      <c r="H134">
        <v>0</v>
      </c>
      <c r="I134">
        <v>120</v>
      </c>
      <c r="J134">
        <v>190</v>
      </c>
      <c r="K134">
        <v>0</v>
      </c>
      <c r="L134" s="1">
        <v>92</v>
      </c>
      <c r="M134">
        <v>58</v>
      </c>
      <c r="N134">
        <v>45</v>
      </c>
      <c r="O134">
        <v>24</v>
      </c>
      <c r="P134">
        <v>4</v>
      </c>
      <c r="Q134">
        <v>0</v>
      </c>
      <c r="R134" t="s">
        <v>522</v>
      </c>
      <c r="S134" t="s">
        <v>522</v>
      </c>
      <c r="T134" t="s">
        <v>575</v>
      </c>
      <c r="U134" t="s">
        <v>227</v>
      </c>
      <c r="V134">
        <f t="shared" si="4"/>
        <v>28</v>
      </c>
      <c r="W134">
        <v>7</v>
      </c>
      <c r="X134">
        <v>7</v>
      </c>
      <c r="Y134">
        <v>7</v>
      </c>
      <c r="Z134">
        <v>7</v>
      </c>
      <c r="AD134" t="s">
        <v>2294</v>
      </c>
    </row>
    <row r="135" spans="1:30" x14ac:dyDescent="0.2">
      <c r="A135" s="9" t="s">
        <v>2137</v>
      </c>
      <c r="B135" t="s">
        <v>206</v>
      </c>
      <c r="C135" t="s">
        <v>2147</v>
      </c>
      <c r="D135" t="s">
        <v>91</v>
      </c>
      <c r="E135">
        <v>100</v>
      </c>
      <c r="F135">
        <v>180</v>
      </c>
      <c r="G135">
        <v>130</v>
      </c>
      <c r="H135">
        <v>0</v>
      </c>
      <c r="I135">
        <v>120</v>
      </c>
      <c r="J135">
        <v>50</v>
      </c>
      <c r="K135">
        <v>0</v>
      </c>
      <c r="L135" s="1">
        <v>92</v>
      </c>
      <c r="M135">
        <v>40</v>
      </c>
      <c r="N135">
        <v>50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601</v>
      </c>
      <c r="U135" t="s">
        <v>244</v>
      </c>
      <c r="V135">
        <f t="shared" si="4"/>
        <v>0</v>
      </c>
      <c r="W135">
        <v>0</v>
      </c>
      <c r="X135">
        <v>0</v>
      </c>
      <c r="Y135">
        <v>0</v>
      </c>
      <c r="Z135">
        <v>0</v>
      </c>
      <c r="AD135" t="s">
        <v>2294</v>
      </c>
    </row>
    <row r="136" spans="1:30" x14ac:dyDescent="0.2">
      <c r="A136" s="9" t="s">
        <v>2138</v>
      </c>
      <c r="B136" t="s">
        <v>211</v>
      </c>
      <c r="C136" t="s">
        <v>2148</v>
      </c>
      <c r="D136" t="s">
        <v>91</v>
      </c>
      <c r="E136">
        <v>100</v>
      </c>
      <c r="F136">
        <v>108</v>
      </c>
      <c r="G136">
        <v>70</v>
      </c>
      <c r="H136">
        <v>0</v>
      </c>
      <c r="I136">
        <v>58</v>
      </c>
      <c r="J136">
        <v>50</v>
      </c>
      <c r="K136">
        <v>100</v>
      </c>
      <c r="L136" s="1">
        <v>139</v>
      </c>
      <c r="M136">
        <v>90</v>
      </c>
      <c r="N136">
        <v>30</v>
      </c>
      <c r="O136">
        <v>35</v>
      </c>
      <c r="P136">
        <v>1</v>
      </c>
      <c r="Q136">
        <v>0</v>
      </c>
      <c r="R136" t="s">
        <v>305</v>
      </c>
      <c r="S136" t="s">
        <v>2149</v>
      </c>
      <c r="T136" t="s">
        <v>2149</v>
      </c>
      <c r="V136">
        <f t="shared" si="4"/>
        <v>24</v>
      </c>
      <c r="W136">
        <v>8</v>
      </c>
      <c r="X136">
        <v>8</v>
      </c>
      <c r="Y136">
        <v>8</v>
      </c>
      <c r="Z136">
        <v>0</v>
      </c>
      <c r="AD136" t="s">
        <v>2294</v>
      </c>
    </row>
    <row r="137" spans="1:30" x14ac:dyDescent="0.2">
      <c r="A137" s="9" t="s">
        <v>2139</v>
      </c>
      <c r="B137" t="s">
        <v>206</v>
      </c>
      <c r="C137" t="s">
        <v>2150</v>
      </c>
      <c r="D137" t="s">
        <v>91</v>
      </c>
      <c r="E137">
        <v>100</v>
      </c>
      <c r="F137">
        <v>150</v>
      </c>
      <c r="G137">
        <v>93</v>
      </c>
      <c r="H137">
        <v>0</v>
      </c>
      <c r="I137">
        <v>120</v>
      </c>
      <c r="J137">
        <v>96</v>
      </c>
      <c r="K137">
        <v>0</v>
      </c>
      <c r="L137" s="1">
        <v>92</v>
      </c>
      <c r="M137">
        <v>50</v>
      </c>
      <c r="N137">
        <v>39</v>
      </c>
      <c r="O137">
        <v>33</v>
      </c>
      <c r="P137">
        <v>4</v>
      </c>
      <c r="Q137">
        <v>0</v>
      </c>
      <c r="R137" t="s">
        <v>531</v>
      </c>
      <c r="S137" t="s">
        <v>531</v>
      </c>
      <c r="T137" t="s">
        <v>253</v>
      </c>
      <c r="U137" t="s">
        <v>573</v>
      </c>
      <c r="V137">
        <f t="shared" si="4"/>
        <v>8</v>
      </c>
      <c r="W137">
        <v>2</v>
      </c>
      <c r="X137">
        <v>2</v>
      </c>
      <c r="Y137">
        <v>2</v>
      </c>
      <c r="Z137">
        <v>2</v>
      </c>
      <c r="AD137" t="s">
        <v>2294</v>
      </c>
    </row>
    <row r="138" spans="1:30" x14ac:dyDescent="0.2">
      <c r="A138" s="9" t="s">
        <v>2238</v>
      </c>
      <c r="B138" t="s">
        <v>206</v>
      </c>
      <c r="C138" t="s">
        <v>2011</v>
      </c>
      <c r="D138" t="s">
        <v>91</v>
      </c>
      <c r="E138">
        <v>110</v>
      </c>
      <c r="F138">
        <v>336</v>
      </c>
      <c r="G138" s="30">
        <v>190</v>
      </c>
      <c r="H138">
        <v>0</v>
      </c>
      <c r="I138">
        <v>250</v>
      </c>
      <c r="J138">
        <v>0</v>
      </c>
      <c r="K138">
        <v>0</v>
      </c>
      <c r="L138" s="1">
        <v>92</v>
      </c>
      <c r="M138">
        <v>75</v>
      </c>
      <c r="N138">
        <v>80</v>
      </c>
      <c r="O138">
        <v>36</v>
      </c>
      <c r="P138">
        <v>3</v>
      </c>
      <c r="Q138">
        <v>0</v>
      </c>
      <c r="R138" t="s">
        <v>227</v>
      </c>
      <c r="S138" t="s">
        <v>227</v>
      </c>
      <c r="T138" t="s">
        <v>243</v>
      </c>
      <c r="U138" t="s">
        <v>249</v>
      </c>
      <c r="V138">
        <f t="shared" si="4"/>
        <v>0</v>
      </c>
      <c r="W138">
        <v>0</v>
      </c>
      <c r="X138">
        <v>0</v>
      </c>
      <c r="Y138">
        <v>0</v>
      </c>
      <c r="Z138">
        <v>0</v>
      </c>
      <c r="AA138" s="2"/>
      <c r="AD138" t="s">
        <v>2295</v>
      </c>
    </row>
    <row r="139" spans="1:30" x14ac:dyDescent="0.2">
      <c r="A139" s="9" t="s">
        <v>2239</v>
      </c>
      <c r="B139" t="s">
        <v>75</v>
      </c>
      <c r="C139" t="s">
        <v>2240</v>
      </c>
      <c r="D139" t="s">
        <v>91</v>
      </c>
      <c r="E139">
        <v>110</v>
      </c>
      <c r="F139">
        <v>320</v>
      </c>
      <c r="G139">
        <v>110</v>
      </c>
      <c r="H139">
        <v>0</v>
      </c>
      <c r="I139">
        <v>185</v>
      </c>
      <c r="J139" s="31">
        <v>60</v>
      </c>
      <c r="K139">
        <v>0</v>
      </c>
      <c r="L139" s="1">
        <v>82</v>
      </c>
      <c r="M139">
        <v>82</v>
      </c>
      <c r="N139">
        <v>80</v>
      </c>
      <c r="O139">
        <v>32</v>
      </c>
      <c r="P139">
        <v>1</v>
      </c>
      <c r="Q139">
        <v>0</v>
      </c>
      <c r="R139" t="s">
        <v>2241</v>
      </c>
      <c r="S139" t="s">
        <v>2241</v>
      </c>
      <c r="T139" t="s">
        <v>2241</v>
      </c>
      <c r="U139" t="s">
        <v>2242</v>
      </c>
      <c r="V139">
        <f t="shared" si="4"/>
        <v>120</v>
      </c>
      <c r="W139">
        <v>30</v>
      </c>
      <c r="X139">
        <v>30</v>
      </c>
      <c r="Y139">
        <v>30</v>
      </c>
      <c r="Z139">
        <v>30</v>
      </c>
      <c r="AA139" s="2"/>
      <c r="AD139" t="s">
        <v>2295</v>
      </c>
    </row>
    <row r="140" spans="1:30" x14ac:dyDescent="0.2">
      <c r="A140" s="9" t="s">
        <v>2243</v>
      </c>
      <c r="B140" t="s">
        <v>1675</v>
      </c>
      <c r="C140" t="s">
        <v>2014</v>
      </c>
      <c r="D140" t="s">
        <v>91</v>
      </c>
      <c r="E140">
        <v>110</v>
      </c>
      <c r="F140">
        <v>666</v>
      </c>
      <c r="G140">
        <v>190</v>
      </c>
      <c r="H140">
        <v>0</v>
      </c>
      <c r="I140">
        <v>150</v>
      </c>
      <c r="J140" s="31">
        <v>20</v>
      </c>
      <c r="K140">
        <v>0</v>
      </c>
      <c r="L140" s="1">
        <v>30</v>
      </c>
      <c r="M140">
        <v>4</v>
      </c>
      <c r="N140">
        <v>80</v>
      </c>
      <c r="O140">
        <v>1</v>
      </c>
      <c r="P140">
        <v>4</v>
      </c>
      <c r="Q140">
        <v>0</v>
      </c>
      <c r="R140" t="s">
        <v>227</v>
      </c>
      <c r="S140" t="s">
        <v>227</v>
      </c>
      <c r="T140" t="s">
        <v>2142</v>
      </c>
      <c r="U140" t="s">
        <v>2241</v>
      </c>
      <c r="V140">
        <f t="shared" si="4"/>
        <v>200</v>
      </c>
      <c r="W140">
        <v>50</v>
      </c>
      <c r="X140">
        <v>50</v>
      </c>
      <c r="Y140">
        <v>50</v>
      </c>
      <c r="Z140">
        <v>50</v>
      </c>
      <c r="AD140" t="s">
        <v>2295</v>
      </c>
    </row>
    <row r="141" spans="1:30" x14ac:dyDescent="0.2">
      <c r="A141" s="9" t="s">
        <v>2245</v>
      </c>
      <c r="B141" t="s">
        <v>206</v>
      </c>
      <c r="C141" t="s">
        <v>1579</v>
      </c>
      <c r="D141" t="s">
        <v>91</v>
      </c>
      <c r="E141">
        <v>110</v>
      </c>
      <c r="F141">
        <v>233</v>
      </c>
      <c r="G141">
        <v>100</v>
      </c>
      <c r="H141">
        <v>0</v>
      </c>
      <c r="I141">
        <v>185</v>
      </c>
      <c r="J141" s="30">
        <v>0</v>
      </c>
      <c r="K141">
        <v>0</v>
      </c>
      <c r="L141" s="1">
        <v>92</v>
      </c>
      <c r="M141">
        <v>75</v>
      </c>
      <c r="N141">
        <v>80</v>
      </c>
      <c r="O141">
        <v>30</v>
      </c>
      <c r="P141">
        <v>3</v>
      </c>
      <c r="Q141">
        <v>0</v>
      </c>
      <c r="R141" t="s">
        <v>227</v>
      </c>
      <c r="S141" t="s">
        <v>227</v>
      </c>
      <c r="V141">
        <f t="shared" si="4"/>
        <v>0</v>
      </c>
      <c r="W141">
        <v>0</v>
      </c>
      <c r="X141">
        <v>0</v>
      </c>
      <c r="Y141">
        <v>0</v>
      </c>
      <c r="Z141">
        <v>0</v>
      </c>
      <c r="AA141" s="2" t="s">
        <v>2244</v>
      </c>
      <c r="AD141" t="s">
        <v>2295</v>
      </c>
    </row>
    <row r="142" spans="1:30" x14ac:dyDescent="0.2">
      <c r="A142" s="9" t="s">
        <v>2246</v>
      </c>
      <c r="B142" t="s">
        <v>205</v>
      </c>
      <c r="C142" t="s">
        <v>1580</v>
      </c>
      <c r="D142" t="s">
        <v>91</v>
      </c>
      <c r="E142">
        <v>110</v>
      </c>
      <c r="F142">
        <v>138</v>
      </c>
      <c r="G142" s="30">
        <v>80</v>
      </c>
      <c r="H142">
        <v>80</v>
      </c>
      <c r="I142">
        <v>130</v>
      </c>
      <c r="J142">
        <v>0</v>
      </c>
      <c r="K142">
        <v>0</v>
      </c>
      <c r="L142" s="1">
        <v>99</v>
      </c>
      <c r="M142">
        <v>79</v>
      </c>
      <c r="N142">
        <v>40</v>
      </c>
      <c r="O142">
        <v>32</v>
      </c>
      <c r="P142">
        <v>2</v>
      </c>
      <c r="Q142">
        <v>0</v>
      </c>
      <c r="R142" t="s">
        <v>224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/>
      <c r="AD142" t="s">
        <v>2295</v>
      </c>
    </row>
    <row r="143" spans="1:30" x14ac:dyDescent="0.2">
      <c r="A143" s="9" t="s">
        <v>2247</v>
      </c>
      <c r="B143" t="s">
        <v>208</v>
      </c>
      <c r="C143" t="s">
        <v>2248</v>
      </c>
      <c r="D143" t="s">
        <v>91</v>
      </c>
      <c r="E143">
        <v>110</v>
      </c>
      <c r="F143">
        <v>60</v>
      </c>
      <c r="G143">
        <v>0</v>
      </c>
      <c r="H143">
        <v>180</v>
      </c>
      <c r="I143">
        <v>50</v>
      </c>
      <c r="J143">
        <v>0</v>
      </c>
      <c r="K143">
        <v>0</v>
      </c>
      <c r="L143" s="1">
        <v>108</v>
      </c>
      <c r="M143">
        <v>10</v>
      </c>
      <c r="N143">
        <v>18</v>
      </c>
      <c r="O143">
        <v>22</v>
      </c>
      <c r="P143">
        <v>1</v>
      </c>
      <c r="Q143">
        <v>0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2295</v>
      </c>
    </row>
    <row r="144" spans="1:30" x14ac:dyDescent="0.2">
      <c r="A144" s="9" t="s">
        <v>2296</v>
      </c>
      <c r="B144" t="s">
        <v>206</v>
      </c>
      <c r="C144" s="2">
        <v>111</v>
      </c>
      <c r="D144" t="s">
        <v>91</v>
      </c>
      <c r="E144">
        <v>110</v>
      </c>
      <c r="F144">
        <v>666</v>
      </c>
      <c r="G144">
        <v>220</v>
      </c>
      <c r="H144">
        <v>0</v>
      </c>
      <c r="I144">
        <v>180</v>
      </c>
      <c r="J144" s="1">
        <v>50</v>
      </c>
      <c r="K144">
        <v>0</v>
      </c>
      <c r="L144" s="1">
        <v>160</v>
      </c>
      <c r="M144" s="31">
        <v>100</v>
      </c>
      <c r="N144" s="31">
        <v>63</v>
      </c>
      <c r="O144" s="31">
        <v>27</v>
      </c>
      <c r="P144">
        <v>4</v>
      </c>
      <c r="Q144">
        <v>0</v>
      </c>
      <c r="R144" t="s">
        <v>2389</v>
      </c>
      <c r="S144" t="s">
        <v>2389</v>
      </c>
      <c r="T144" t="s">
        <v>601</v>
      </c>
      <c r="U144" t="s">
        <v>227</v>
      </c>
      <c r="V144">
        <f t="shared" ref="V144:V155" si="5">SUM($W144:$Z144)</f>
        <v>0</v>
      </c>
      <c r="W144">
        <v>0</v>
      </c>
      <c r="X144">
        <v>0</v>
      </c>
      <c r="Y144">
        <v>0</v>
      </c>
      <c r="Z144">
        <v>0</v>
      </c>
      <c r="AA144" s="2" t="s">
        <v>2312</v>
      </c>
      <c r="AD144" t="s">
        <v>2297</v>
      </c>
    </row>
    <row r="145" spans="1:30" x14ac:dyDescent="0.2">
      <c r="A145" s="9" t="s">
        <v>2298</v>
      </c>
      <c r="B145" t="s">
        <v>206</v>
      </c>
      <c r="C145" t="s">
        <v>2299</v>
      </c>
      <c r="D145" t="s">
        <v>91</v>
      </c>
      <c r="E145">
        <v>110</v>
      </c>
      <c r="F145">
        <v>450</v>
      </c>
      <c r="G145">
        <v>370</v>
      </c>
      <c r="H145">
        <v>0</v>
      </c>
      <c r="I145">
        <v>250</v>
      </c>
      <c r="J145" s="1">
        <v>50</v>
      </c>
      <c r="K145">
        <v>0</v>
      </c>
      <c r="L145" s="1">
        <v>160</v>
      </c>
      <c r="M145" s="31">
        <v>100</v>
      </c>
      <c r="N145" s="31">
        <v>63</v>
      </c>
      <c r="O145" s="31">
        <v>27</v>
      </c>
      <c r="P145">
        <v>4</v>
      </c>
      <c r="Q145">
        <v>0</v>
      </c>
      <c r="R145" t="s">
        <v>2389</v>
      </c>
      <c r="S145" t="s">
        <v>2389</v>
      </c>
      <c r="T145" t="s">
        <v>601</v>
      </c>
      <c r="U145" t="s">
        <v>227</v>
      </c>
      <c r="V145">
        <f t="shared" si="5"/>
        <v>0</v>
      </c>
      <c r="W145">
        <v>0</v>
      </c>
      <c r="X145">
        <v>0</v>
      </c>
      <c r="Y145">
        <v>0</v>
      </c>
      <c r="Z145">
        <v>0</v>
      </c>
      <c r="AA145" s="2"/>
      <c r="AD145" t="s">
        <v>2297</v>
      </c>
    </row>
    <row r="146" spans="1:30" x14ac:dyDescent="0.2">
      <c r="A146" s="9" t="s">
        <v>2300</v>
      </c>
      <c r="B146" t="s">
        <v>206</v>
      </c>
      <c r="C146" t="s">
        <v>2299</v>
      </c>
      <c r="D146" t="s">
        <v>91</v>
      </c>
      <c r="E146">
        <v>80</v>
      </c>
      <c r="F146">
        <v>225</v>
      </c>
      <c r="G146">
        <v>145</v>
      </c>
      <c r="H146">
        <v>0</v>
      </c>
      <c r="I146">
        <v>125</v>
      </c>
      <c r="J146" s="1">
        <v>50</v>
      </c>
      <c r="K146">
        <v>0</v>
      </c>
      <c r="L146" s="1">
        <v>80</v>
      </c>
      <c r="M146" s="31">
        <v>50</v>
      </c>
      <c r="N146" s="31">
        <v>33</v>
      </c>
      <c r="O146" s="31">
        <v>27</v>
      </c>
      <c r="P146">
        <v>4</v>
      </c>
      <c r="Q146">
        <v>0</v>
      </c>
      <c r="R146" t="s">
        <v>2389</v>
      </c>
      <c r="S146" t="s">
        <v>2389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2297</v>
      </c>
    </row>
    <row r="147" spans="1:30" x14ac:dyDescent="0.2">
      <c r="A147" s="9" t="s">
        <v>2301</v>
      </c>
      <c r="B147" t="s">
        <v>206</v>
      </c>
      <c r="C147" t="s">
        <v>2302</v>
      </c>
      <c r="D147" t="s">
        <v>91</v>
      </c>
      <c r="E147">
        <v>110</v>
      </c>
      <c r="F147">
        <v>256</v>
      </c>
      <c r="G147">
        <v>220</v>
      </c>
      <c r="H147">
        <v>0</v>
      </c>
      <c r="I147">
        <v>180</v>
      </c>
      <c r="J147" s="1">
        <v>25</v>
      </c>
      <c r="K147">
        <v>0</v>
      </c>
      <c r="L147" s="1">
        <v>160</v>
      </c>
      <c r="M147" s="31">
        <v>100</v>
      </c>
      <c r="N147" s="31">
        <v>63</v>
      </c>
      <c r="O147" s="31">
        <v>27</v>
      </c>
      <c r="P147">
        <v>4</v>
      </c>
      <c r="Q147">
        <v>0</v>
      </c>
      <c r="R147" t="s">
        <v>2389</v>
      </c>
      <c r="S147" t="s">
        <v>2389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2297</v>
      </c>
    </row>
    <row r="148" spans="1:30" x14ac:dyDescent="0.2">
      <c r="A148" s="9" t="s">
        <v>2303</v>
      </c>
      <c r="B148" t="s">
        <v>206</v>
      </c>
      <c r="C148" t="s">
        <v>2304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50</v>
      </c>
      <c r="K148">
        <v>0</v>
      </c>
      <c r="L148" s="1">
        <v>160</v>
      </c>
      <c r="M148" s="31">
        <v>100</v>
      </c>
      <c r="N148" s="31">
        <v>63</v>
      </c>
      <c r="O148" s="31">
        <v>24</v>
      </c>
      <c r="P148">
        <v>4</v>
      </c>
      <c r="Q148">
        <v>0</v>
      </c>
      <c r="R148" t="s">
        <v>2389</v>
      </c>
      <c r="S148" t="s">
        <v>2389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2297</v>
      </c>
    </row>
    <row r="149" spans="1:30" x14ac:dyDescent="0.2">
      <c r="A149" s="9" t="s">
        <v>2305</v>
      </c>
      <c r="B149" t="s">
        <v>21</v>
      </c>
      <c r="C149" t="s">
        <v>2306</v>
      </c>
      <c r="D149" t="s">
        <v>91</v>
      </c>
      <c r="E149">
        <v>110</v>
      </c>
      <c r="F149">
        <v>540</v>
      </c>
      <c r="G149">
        <v>20</v>
      </c>
      <c r="H149">
        <v>0</v>
      </c>
      <c r="I149">
        <v>180</v>
      </c>
      <c r="J149" s="1">
        <v>100</v>
      </c>
      <c r="K149">
        <v>0</v>
      </c>
      <c r="L149" s="1">
        <v>160</v>
      </c>
      <c r="M149" s="31">
        <v>100</v>
      </c>
      <c r="N149" s="31">
        <v>120</v>
      </c>
      <c r="O149" s="31">
        <v>35</v>
      </c>
      <c r="P149">
        <v>4</v>
      </c>
      <c r="Q149">
        <v>0</v>
      </c>
      <c r="R149" t="s">
        <v>240</v>
      </c>
      <c r="S149" t="s">
        <v>563</v>
      </c>
      <c r="T149" t="s">
        <v>2307</v>
      </c>
      <c r="U149" t="s">
        <v>2307</v>
      </c>
      <c r="V149">
        <f t="shared" si="5"/>
        <v>28</v>
      </c>
      <c r="W149">
        <v>7</v>
      </c>
      <c r="X149">
        <v>7</v>
      </c>
      <c r="Y149">
        <v>7</v>
      </c>
      <c r="Z149">
        <v>7</v>
      </c>
      <c r="AA149" s="2"/>
      <c r="AD149" t="s">
        <v>2297</v>
      </c>
    </row>
    <row r="150" spans="1:30" x14ac:dyDescent="0.2">
      <c r="A150" s="9" t="s">
        <v>2308</v>
      </c>
      <c r="B150" t="s">
        <v>21</v>
      </c>
      <c r="C150" t="s">
        <v>2306</v>
      </c>
      <c r="D150" t="s">
        <v>91</v>
      </c>
      <c r="E150">
        <v>80</v>
      </c>
      <c r="F150">
        <v>270</v>
      </c>
      <c r="G150">
        <v>10</v>
      </c>
      <c r="H150">
        <v>0</v>
      </c>
      <c r="I150">
        <v>90</v>
      </c>
      <c r="J150" s="1">
        <v>50</v>
      </c>
      <c r="K150">
        <v>0</v>
      </c>
      <c r="L150" s="1">
        <v>80</v>
      </c>
      <c r="M150" s="31">
        <v>50</v>
      </c>
      <c r="N150" s="31">
        <v>60</v>
      </c>
      <c r="O150" s="31">
        <v>35</v>
      </c>
      <c r="P150">
        <v>4</v>
      </c>
      <c r="Q150">
        <v>0</v>
      </c>
      <c r="R150" t="s">
        <v>239</v>
      </c>
      <c r="S150" t="s">
        <v>242</v>
      </c>
      <c r="T150" t="s">
        <v>242</v>
      </c>
      <c r="U150" t="s">
        <v>242</v>
      </c>
      <c r="V150">
        <f t="shared" si="5"/>
        <v>20</v>
      </c>
      <c r="W150">
        <v>5</v>
      </c>
      <c r="X150">
        <v>5</v>
      </c>
      <c r="Y150">
        <v>5</v>
      </c>
      <c r="Z150">
        <v>5</v>
      </c>
      <c r="AA150" s="2"/>
      <c r="AD150" t="s">
        <v>2297</v>
      </c>
    </row>
    <row r="151" spans="1:30" x14ac:dyDescent="0.2">
      <c r="A151" s="9" t="s">
        <v>2309</v>
      </c>
      <c r="B151" t="s">
        <v>206</v>
      </c>
      <c r="C151" t="s">
        <v>2310</v>
      </c>
      <c r="D151" t="s">
        <v>91</v>
      </c>
      <c r="E151">
        <v>110</v>
      </c>
      <c r="F151">
        <v>216</v>
      </c>
      <c r="G151">
        <v>220</v>
      </c>
      <c r="H151">
        <v>0</v>
      </c>
      <c r="I151">
        <v>180</v>
      </c>
      <c r="J151" s="1">
        <v>50</v>
      </c>
      <c r="K151">
        <v>0</v>
      </c>
      <c r="L151" s="1">
        <v>160</v>
      </c>
      <c r="M151" s="31">
        <v>100</v>
      </c>
      <c r="N151" s="31">
        <v>63</v>
      </c>
      <c r="O151" s="31">
        <v>27</v>
      </c>
      <c r="P151">
        <v>4</v>
      </c>
      <c r="Q151">
        <v>0</v>
      </c>
      <c r="R151" t="s">
        <v>2389</v>
      </c>
      <c r="S151" t="s">
        <v>2389</v>
      </c>
      <c r="T151" t="s">
        <v>601</v>
      </c>
      <c r="U151" t="s">
        <v>227</v>
      </c>
      <c r="V151">
        <f t="shared" si="5"/>
        <v>0</v>
      </c>
      <c r="W151">
        <v>0</v>
      </c>
      <c r="X151">
        <v>0</v>
      </c>
      <c r="Y151">
        <v>0</v>
      </c>
      <c r="Z151">
        <v>0</v>
      </c>
      <c r="AA151" s="2"/>
      <c r="AD151" t="s">
        <v>2297</v>
      </c>
    </row>
    <row r="152" spans="1:30" x14ac:dyDescent="0.2">
      <c r="A152" s="7" t="s">
        <v>2491</v>
      </c>
      <c r="B152" t="s">
        <v>206</v>
      </c>
      <c r="C152" t="s">
        <v>2499</v>
      </c>
      <c r="D152" t="s">
        <v>91</v>
      </c>
      <c r="E152">
        <v>110</v>
      </c>
      <c r="F152">
        <v>720</v>
      </c>
      <c r="G152">
        <v>300</v>
      </c>
      <c r="H152">
        <v>0</v>
      </c>
      <c r="I152">
        <v>250</v>
      </c>
      <c r="J152" s="31">
        <v>100</v>
      </c>
      <c r="K152">
        <v>0</v>
      </c>
      <c r="L152" s="1">
        <v>140</v>
      </c>
      <c r="M152" s="31">
        <v>80</v>
      </c>
      <c r="N152" s="31">
        <v>50</v>
      </c>
      <c r="O152" s="31">
        <v>28</v>
      </c>
      <c r="P152" s="31">
        <v>4</v>
      </c>
      <c r="Q152" s="31">
        <v>0</v>
      </c>
      <c r="V152">
        <f t="shared" si="5"/>
        <v>0</v>
      </c>
      <c r="W152" s="31">
        <v>0</v>
      </c>
      <c r="X152" s="31">
        <v>0</v>
      </c>
      <c r="Y152" s="31">
        <v>0</v>
      </c>
      <c r="Z152" s="31">
        <v>0</v>
      </c>
      <c r="AA152" s="33"/>
      <c r="AB152" s="31"/>
      <c r="AC152" s="31"/>
      <c r="AD152" t="s">
        <v>2493</v>
      </c>
    </row>
    <row r="153" spans="1:30" x14ac:dyDescent="0.2">
      <c r="A153" s="7" t="s">
        <v>2492</v>
      </c>
      <c r="B153" t="s">
        <v>206</v>
      </c>
      <c r="C153" t="s">
        <v>1579</v>
      </c>
      <c r="D153" t="s">
        <v>91</v>
      </c>
      <c r="E153">
        <v>110</v>
      </c>
      <c r="F153">
        <v>360</v>
      </c>
      <c r="G153">
        <v>300</v>
      </c>
      <c r="H153">
        <v>0</v>
      </c>
      <c r="I153">
        <v>185</v>
      </c>
      <c r="J153" s="31">
        <v>100</v>
      </c>
      <c r="K153">
        <v>0</v>
      </c>
      <c r="L153" s="1">
        <v>140</v>
      </c>
      <c r="M153" s="31">
        <v>80</v>
      </c>
      <c r="N153" s="31">
        <v>50</v>
      </c>
      <c r="O153" s="31">
        <v>30</v>
      </c>
      <c r="P153" s="31">
        <v>4</v>
      </c>
      <c r="Q153" s="31">
        <v>0</v>
      </c>
      <c r="V153">
        <f t="shared" si="5"/>
        <v>0</v>
      </c>
      <c r="W153" s="31">
        <v>0</v>
      </c>
      <c r="X153" s="31">
        <v>0</v>
      </c>
      <c r="Y153" s="31">
        <v>0</v>
      </c>
      <c r="Z153" s="31">
        <v>0</v>
      </c>
      <c r="AA153" s="33"/>
      <c r="AB153" s="31"/>
      <c r="AC153" s="31"/>
      <c r="AD153" t="s">
        <v>2493</v>
      </c>
    </row>
    <row r="154" spans="1:30" x14ac:dyDescent="0.2">
      <c r="A154" s="7" t="s">
        <v>2494</v>
      </c>
      <c r="B154" t="s">
        <v>1675</v>
      </c>
      <c r="C154" t="s">
        <v>2014</v>
      </c>
      <c r="D154" t="s">
        <v>91</v>
      </c>
      <c r="E154">
        <v>110</v>
      </c>
      <c r="F154">
        <v>666</v>
      </c>
      <c r="G154">
        <v>300</v>
      </c>
      <c r="H154">
        <v>0</v>
      </c>
      <c r="I154">
        <v>150</v>
      </c>
      <c r="J154" s="31">
        <v>150</v>
      </c>
      <c r="K154">
        <v>0</v>
      </c>
      <c r="L154" s="1">
        <v>140</v>
      </c>
      <c r="M154" s="31">
        <v>5</v>
      </c>
      <c r="N154" s="31">
        <v>60</v>
      </c>
      <c r="O154" s="31">
        <v>1</v>
      </c>
      <c r="P154" s="31">
        <v>4</v>
      </c>
      <c r="Q154" s="31">
        <v>0</v>
      </c>
      <c r="T154" t="s">
        <v>2143</v>
      </c>
      <c r="U154" t="s">
        <v>2143</v>
      </c>
      <c r="V154">
        <f t="shared" si="5"/>
        <v>80</v>
      </c>
      <c r="W154">
        <v>20</v>
      </c>
      <c r="X154">
        <v>20</v>
      </c>
      <c r="Y154">
        <v>20</v>
      </c>
      <c r="Z154">
        <v>20</v>
      </c>
      <c r="AA154" s="33"/>
      <c r="AB154" s="31"/>
      <c r="AC154" s="31"/>
      <c r="AD154" t="s">
        <v>2493</v>
      </c>
    </row>
    <row r="155" spans="1:30" x14ac:dyDescent="0.2">
      <c r="A155" s="7" t="s">
        <v>2495</v>
      </c>
      <c r="B155" t="s">
        <v>1675</v>
      </c>
      <c r="C155" t="s">
        <v>2014</v>
      </c>
      <c r="D155" t="s">
        <v>91</v>
      </c>
      <c r="E155">
        <v>110</v>
      </c>
      <c r="F155">
        <v>333</v>
      </c>
      <c r="G155">
        <v>300</v>
      </c>
      <c r="H155">
        <v>0</v>
      </c>
      <c r="I155">
        <v>150</v>
      </c>
      <c r="J155" s="31">
        <v>150</v>
      </c>
      <c r="K155">
        <v>0</v>
      </c>
      <c r="L155" s="1">
        <v>140</v>
      </c>
      <c r="M155" s="31">
        <v>5</v>
      </c>
      <c r="N155" s="31">
        <v>60</v>
      </c>
      <c r="O155" s="31">
        <v>1</v>
      </c>
      <c r="P155" s="31">
        <v>4</v>
      </c>
      <c r="Q155" s="31">
        <v>0</v>
      </c>
      <c r="T155" t="s">
        <v>2143</v>
      </c>
      <c r="U155" t="s">
        <v>2143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3"/>
      <c r="AB155" s="31"/>
      <c r="AC155" s="31"/>
      <c r="AD155" t="s">
        <v>2493</v>
      </c>
    </row>
    <row r="156" spans="1:30" x14ac:dyDescent="0.2">
      <c r="A156" s="7" t="s">
        <v>2496</v>
      </c>
      <c r="B156" t="s">
        <v>206</v>
      </c>
      <c r="C156" t="s">
        <v>2500</v>
      </c>
      <c r="D156" t="s">
        <v>91</v>
      </c>
      <c r="E156">
        <v>110</v>
      </c>
      <c r="F156">
        <v>420</v>
      </c>
      <c r="G156">
        <v>300</v>
      </c>
      <c r="H156">
        <v>0</v>
      </c>
      <c r="I156">
        <v>185</v>
      </c>
      <c r="J156" s="31">
        <v>100</v>
      </c>
      <c r="K156">
        <v>0</v>
      </c>
      <c r="L156" s="1">
        <v>140</v>
      </c>
      <c r="M156" s="31">
        <v>80</v>
      </c>
      <c r="N156" s="31">
        <v>50</v>
      </c>
      <c r="O156" s="31">
        <v>36</v>
      </c>
      <c r="P156" s="31">
        <v>4</v>
      </c>
      <c r="Q156" s="31">
        <v>0</v>
      </c>
      <c r="V156">
        <f>SUM($W156:$Z156)</f>
        <v>0</v>
      </c>
      <c r="W156" s="31">
        <v>0</v>
      </c>
      <c r="X156" s="31">
        <v>0</v>
      </c>
      <c r="Y156" s="31">
        <v>0</v>
      </c>
      <c r="Z156" s="31">
        <v>0</v>
      </c>
      <c r="AA156" s="33"/>
      <c r="AB156" s="31"/>
      <c r="AC156" s="31"/>
      <c r="AD156" t="s">
        <v>2493</v>
      </c>
    </row>
    <row r="157" spans="1:30" x14ac:dyDescent="0.2">
      <c r="A157" s="7" t="s">
        <v>2501</v>
      </c>
      <c r="B157" t="s">
        <v>205</v>
      </c>
      <c r="C157" t="s">
        <v>1580</v>
      </c>
      <c r="D157" t="s">
        <v>91</v>
      </c>
      <c r="E157">
        <v>110</v>
      </c>
      <c r="F157">
        <v>280</v>
      </c>
      <c r="G157">
        <v>130</v>
      </c>
      <c r="H157">
        <v>80</v>
      </c>
      <c r="I157">
        <v>185</v>
      </c>
      <c r="J157" s="31">
        <v>100</v>
      </c>
      <c r="K157">
        <v>0</v>
      </c>
      <c r="L157" s="1">
        <v>100</v>
      </c>
      <c r="M157" s="31">
        <v>80</v>
      </c>
      <c r="N157" s="31">
        <v>50</v>
      </c>
      <c r="O157" s="31">
        <v>32</v>
      </c>
      <c r="P157" s="31">
        <v>3</v>
      </c>
      <c r="Q157" s="31">
        <v>0</v>
      </c>
      <c r="R157" s="31" t="s">
        <v>226</v>
      </c>
      <c r="S157" s="31"/>
      <c r="T157" s="31"/>
      <c r="U157" s="31"/>
      <c r="V157">
        <f>SUM($W157:$Z157)</f>
        <v>0</v>
      </c>
      <c r="W157" s="31">
        <v>0</v>
      </c>
      <c r="X157" s="31">
        <v>0</v>
      </c>
      <c r="Y157" s="31">
        <v>0</v>
      </c>
      <c r="Z157" s="31">
        <v>0</v>
      </c>
      <c r="AA157" s="33"/>
      <c r="AB157" s="31"/>
      <c r="AC157" s="31"/>
      <c r="AD157" t="s">
        <v>2493</v>
      </c>
    </row>
    <row r="158" spans="1:30" x14ac:dyDescent="0.2">
      <c r="A158" s="34" t="s">
        <v>2550</v>
      </c>
      <c r="B158" t="s">
        <v>21</v>
      </c>
      <c r="C158" t="s">
        <v>2551</v>
      </c>
      <c r="D158" t="s">
        <v>91</v>
      </c>
      <c r="E158">
        <v>120</v>
      </c>
      <c r="F158">
        <v>666</v>
      </c>
      <c r="G158">
        <v>300</v>
      </c>
      <c r="H158">
        <v>0</v>
      </c>
      <c r="I158">
        <v>180</v>
      </c>
      <c r="J158" s="31">
        <v>70</v>
      </c>
      <c r="K158">
        <v>0</v>
      </c>
      <c r="L158" s="31">
        <v>150</v>
      </c>
      <c r="M158">
        <v>120</v>
      </c>
      <c r="N158">
        <v>80</v>
      </c>
      <c r="O158">
        <v>30</v>
      </c>
      <c r="P158">
        <v>3</v>
      </c>
      <c r="Q158">
        <v>0</v>
      </c>
      <c r="R158" t="s">
        <v>2241</v>
      </c>
      <c r="S158" t="s">
        <v>2241</v>
      </c>
      <c r="T158" t="s">
        <v>2307</v>
      </c>
      <c r="U158" t="s">
        <v>2242</v>
      </c>
      <c r="V158">
        <f t="shared" ref="V158:V164" si="6">SUM($W158:$Z158)</f>
        <v>120</v>
      </c>
      <c r="W158">
        <v>30</v>
      </c>
      <c r="X158">
        <v>30</v>
      </c>
      <c r="Y158">
        <v>30</v>
      </c>
      <c r="Z158">
        <v>30</v>
      </c>
      <c r="AA158" s="2"/>
      <c r="AD158" t="s">
        <v>2557</v>
      </c>
    </row>
    <row r="159" spans="1:30" x14ac:dyDescent="0.2">
      <c r="A159" s="34" t="s">
        <v>2552</v>
      </c>
      <c r="B159" t="s">
        <v>1675</v>
      </c>
      <c r="C159" t="s">
        <v>2014</v>
      </c>
      <c r="D159" t="s">
        <v>91</v>
      </c>
      <c r="E159">
        <v>120</v>
      </c>
      <c r="F159">
        <v>466</v>
      </c>
      <c r="G159">
        <v>300</v>
      </c>
      <c r="H159">
        <v>0</v>
      </c>
      <c r="I159">
        <v>180</v>
      </c>
      <c r="J159" s="31">
        <v>70</v>
      </c>
      <c r="K159">
        <v>0</v>
      </c>
      <c r="L159" s="31">
        <v>150</v>
      </c>
      <c r="M159">
        <v>120</v>
      </c>
      <c r="N159">
        <v>80</v>
      </c>
      <c r="O159">
        <v>21</v>
      </c>
      <c r="P159">
        <v>3</v>
      </c>
      <c r="Q159">
        <v>0</v>
      </c>
      <c r="R159" t="s">
        <v>2143</v>
      </c>
      <c r="S159" t="s">
        <v>2143</v>
      </c>
      <c r="T159" t="s">
        <v>2143</v>
      </c>
      <c r="U159" t="s">
        <v>239</v>
      </c>
      <c r="V159">
        <f t="shared" si="6"/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2557</v>
      </c>
    </row>
    <row r="160" spans="1:30" x14ac:dyDescent="0.2">
      <c r="A160" s="34" t="s">
        <v>2553</v>
      </c>
      <c r="B160" t="s">
        <v>206</v>
      </c>
      <c r="C160" t="s">
        <v>1579</v>
      </c>
      <c r="D160" t="s">
        <v>91</v>
      </c>
      <c r="E160">
        <v>120</v>
      </c>
      <c r="F160">
        <v>333</v>
      </c>
      <c r="G160">
        <v>300</v>
      </c>
      <c r="H160">
        <v>0</v>
      </c>
      <c r="I160">
        <v>180</v>
      </c>
      <c r="J160" s="31">
        <v>70</v>
      </c>
      <c r="K160">
        <v>0</v>
      </c>
      <c r="L160" s="31">
        <v>150</v>
      </c>
      <c r="M160">
        <v>120</v>
      </c>
      <c r="N160">
        <v>80</v>
      </c>
      <c r="O160">
        <v>30</v>
      </c>
      <c r="P160">
        <v>3</v>
      </c>
      <c r="Q160">
        <v>0</v>
      </c>
      <c r="V160">
        <f t="shared" si="6"/>
        <v>0</v>
      </c>
      <c r="W160">
        <v>0</v>
      </c>
      <c r="X160">
        <v>0</v>
      </c>
      <c r="Y160">
        <v>0</v>
      </c>
      <c r="Z160">
        <v>0</v>
      </c>
      <c r="AA160" s="2"/>
      <c r="AD160" t="s">
        <v>2557</v>
      </c>
    </row>
    <row r="161" spans="1:30" x14ac:dyDescent="0.2">
      <c r="A161" s="34" t="s">
        <v>2554</v>
      </c>
      <c r="B161" t="s">
        <v>75</v>
      </c>
      <c r="C161" t="s">
        <v>2240</v>
      </c>
      <c r="D161" t="s">
        <v>91</v>
      </c>
      <c r="E161">
        <v>120</v>
      </c>
      <c r="F161">
        <v>450</v>
      </c>
      <c r="G161">
        <v>200</v>
      </c>
      <c r="H161">
        <v>0</v>
      </c>
      <c r="I161">
        <v>180</v>
      </c>
      <c r="J161" s="31">
        <v>70</v>
      </c>
      <c r="K161">
        <v>0</v>
      </c>
      <c r="L161" s="31">
        <v>150</v>
      </c>
      <c r="M161">
        <v>90</v>
      </c>
      <c r="N161">
        <v>80</v>
      </c>
      <c r="O161">
        <v>32</v>
      </c>
      <c r="P161">
        <v>3</v>
      </c>
      <c r="Q161">
        <v>0</v>
      </c>
      <c r="R161" t="s">
        <v>2241</v>
      </c>
      <c r="S161" t="s">
        <v>2241</v>
      </c>
      <c r="T161" t="s">
        <v>2241</v>
      </c>
      <c r="U161" t="s">
        <v>2242</v>
      </c>
      <c r="V161">
        <f t="shared" si="6"/>
        <v>120</v>
      </c>
      <c r="W161">
        <v>30</v>
      </c>
      <c r="X161">
        <v>30</v>
      </c>
      <c r="Y161">
        <v>30</v>
      </c>
      <c r="Z161">
        <v>30</v>
      </c>
      <c r="AA161" s="2"/>
      <c r="AD161" t="s">
        <v>2557</v>
      </c>
    </row>
    <row r="162" spans="1:30" x14ac:dyDescent="0.2">
      <c r="A162" s="34" t="s">
        <v>2555</v>
      </c>
      <c r="B162" t="s">
        <v>206</v>
      </c>
      <c r="C162" s="2">
        <v>111</v>
      </c>
      <c r="D162" t="s">
        <v>91</v>
      </c>
      <c r="E162">
        <v>120</v>
      </c>
      <c r="F162">
        <v>270</v>
      </c>
      <c r="G162">
        <v>200</v>
      </c>
      <c r="H162">
        <v>0</v>
      </c>
      <c r="I162">
        <v>180</v>
      </c>
      <c r="J162" s="31">
        <v>70</v>
      </c>
      <c r="K162">
        <v>0</v>
      </c>
      <c r="L162" s="31">
        <v>150</v>
      </c>
      <c r="M162">
        <v>90</v>
      </c>
      <c r="N162">
        <v>80</v>
      </c>
      <c r="O162">
        <v>30</v>
      </c>
      <c r="P162">
        <v>3</v>
      </c>
      <c r="Q162">
        <v>0</v>
      </c>
      <c r="V162">
        <f t="shared" si="6"/>
        <v>0</v>
      </c>
      <c r="W162">
        <v>0</v>
      </c>
      <c r="X162">
        <v>0</v>
      </c>
      <c r="Y162">
        <v>0</v>
      </c>
      <c r="Z162">
        <v>0</v>
      </c>
      <c r="AA162" s="2"/>
      <c r="AD162" t="s">
        <v>2557</v>
      </c>
    </row>
    <row r="163" spans="1:30" x14ac:dyDescent="0.2">
      <c r="A163" s="34" t="s">
        <v>2556</v>
      </c>
      <c r="B163" t="s">
        <v>211</v>
      </c>
      <c r="C163" t="s">
        <v>2558</v>
      </c>
      <c r="D163" t="s">
        <v>91</v>
      </c>
      <c r="E163">
        <v>120</v>
      </c>
      <c r="F163">
        <v>233</v>
      </c>
      <c r="G163">
        <v>70</v>
      </c>
      <c r="H163">
        <v>0</v>
      </c>
      <c r="I163">
        <v>180</v>
      </c>
      <c r="J163" s="31">
        <v>70</v>
      </c>
      <c r="K163">
        <v>0</v>
      </c>
      <c r="L163" s="31">
        <v>150</v>
      </c>
      <c r="M163">
        <v>90</v>
      </c>
      <c r="N163">
        <v>30</v>
      </c>
      <c r="O163">
        <v>35</v>
      </c>
      <c r="P163">
        <v>3</v>
      </c>
      <c r="Q163">
        <v>0</v>
      </c>
      <c r="R163" t="s">
        <v>305</v>
      </c>
      <c r="S163" t="s">
        <v>2149</v>
      </c>
      <c r="T163" t="s">
        <v>2149</v>
      </c>
      <c r="U163" t="s">
        <v>2149</v>
      </c>
      <c r="V163">
        <f t="shared" si="6"/>
        <v>32</v>
      </c>
      <c r="W163">
        <v>8</v>
      </c>
      <c r="X163">
        <v>8</v>
      </c>
      <c r="Y163">
        <v>8</v>
      </c>
      <c r="Z163">
        <v>8</v>
      </c>
      <c r="AA163" s="2"/>
      <c r="AD163" t="s">
        <v>2557</v>
      </c>
    </row>
    <row r="164" spans="1:30" x14ac:dyDescent="0.2">
      <c r="A164" s="7" t="s">
        <v>2560</v>
      </c>
      <c r="B164" t="s">
        <v>208</v>
      </c>
      <c r="C164" t="s">
        <v>2248</v>
      </c>
      <c r="D164" t="s">
        <v>91</v>
      </c>
      <c r="E164">
        <v>110</v>
      </c>
      <c r="F164">
        <v>88</v>
      </c>
      <c r="G164">
        <v>0</v>
      </c>
      <c r="H164">
        <v>180</v>
      </c>
      <c r="I164">
        <v>50</v>
      </c>
      <c r="J164">
        <v>0</v>
      </c>
      <c r="K164">
        <v>0</v>
      </c>
      <c r="L164" s="31">
        <v>100</v>
      </c>
      <c r="M164">
        <v>100</v>
      </c>
      <c r="N164">
        <v>18</v>
      </c>
      <c r="O164">
        <v>22</v>
      </c>
      <c r="P164">
        <v>1</v>
      </c>
      <c r="Q164">
        <v>0</v>
      </c>
      <c r="V164">
        <f t="shared" si="6"/>
        <v>0</v>
      </c>
      <c r="W164">
        <v>0</v>
      </c>
      <c r="X164">
        <v>0</v>
      </c>
      <c r="Y164">
        <v>0</v>
      </c>
      <c r="Z164">
        <v>0</v>
      </c>
      <c r="AA164" s="2"/>
      <c r="AD164" t="s">
        <v>2295</v>
      </c>
    </row>
    <row r="165" spans="1:30" x14ac:dyDescent="0.2">
      <c r="A165" s="2" t="s">
        <v>1602</v>
      </c>
      <c r="B165" t="s">
        <v>203</v>
      </c>
      <c r="C165" t="s">
        <v>1601</v>
      </c>
      <c r="D165" t="s">
        <v>91</v>
      </c>
      <c r="E165" s="8">
        <v>5</v>
      </c>
      <c r="F165">
        <v>20</v>
      </c>
      <c r="G165">
        <v>14</v>
      </c>
      <c r="H165">
        <v>24</v>
      </c>
      <c r="I165">
        <v>10</v>
      </c>
      <c r="J165">
        <v>11</v>
      </c>
      <c r="K165">
        <v>22</v>
      </c>
      <c r="L165" s="1">
        <v>32</v>
      </c>
      <c r="M165">
        <v>17</v>
      </c>
      <c r="N165">
        <v>3</v>
      </c>
      <c r="O165">
        <v>35</v>
      </c>
      <c r="P165">
        <v>1</v>
      </c>
      <c r="Q165">
        <v>0</v>
      </c>
      <c r="R165" t="s">
        <v>219</v>
      </c>
      <c r="V165">
        <f t="shared" ref="V165:V196" si="7">SUM(W165:Z165)</f>
        <v>0</v>
      </c>
      <c r="W165">
        <v>0</v>
      </c>
      <c r="X165">
        <v>0</v>
      </c>
      <c r="Y165">
        <v>0</v>
      </c>
      <c r="Z165">
        <v>0</v>
      </c>
    </row>
    <row r="166" spans="1:30" x14ac:dyDescent="0.2">
      <c r="A166" s="2" t="s">
        <v>1603</v>
      </c>
      <c r="B166" t="s">
        <v>203</v>
      </c>
      <c r="C166" t="s">
        <v>1560</v>
      </c>
      <c r="D166" t="s">
        <v>91</v>
      </c>
      <c r="E166" s="8">
        <v>5</v>
      </c>
      <c r="F166">
        <v>20</v>
      </c>
      <c r="G166">
        <v>14</v>
      </c>
      <c r="H166">
        <v>24</v>
      </c>
      <c r="I166">
        <v>10</v>
      </c>
      <c r="J166">
        <v>11</v>
      </c>
      <c r="K166">
        <v>22</v>
      </c>
      <c r="L166" s="1">
        <v>32</v>
      </c>
      <c r="M166">
        <v>17</v>
      </c>
      <c r="N166">
        <v>3</v>
      </c>
      <c r="O166">
        <v>35</v>
      </c>
      <c r="P166">
        <v>1</v>
      </c>
      <c r="Q166">
        <v>0</v>
      </c>
      <c r="R166" t="s">
        <v>219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</row>
    <row r="167" spans="1:30" x14ac:dyDescent="0.2">
      <c r="A167" s="2" t="s">
        <v>1604</v>
      </c>
      <c r="B167" t="s">
        <v>203</v>
      </c>
      <c r="C167" t="s">
        <v>1561</v>
      </c>
      <c r="D167" t="s">
        <v>91</v>
      </c>
      <c r="E167" s="8">
        <v>5</v>
      </c>
      <c r="F167">
        <v>20</v>
      </c>
      <c r="G167">
        <v>14</v>
      </c>
      <c r="H167">
        <v>24</v>
      </c>
      <c r="I167">
        <v>10</v>
      </c>
      <c r="J167">
        <v>11</v>
      </c>
      <c r="K167">
        <v>22</v>
      </c>
      <c r="L167" s="1">
        <v>32</v>
      </c>
      <c r="M167">
        <v>17</v>
      </c>
      <c r="N167">
        <v>3</v>
      </c>
      <c r="O167">
        <v>35</v>
      </c>
      <c r="P167">
        <v>1</v>
      </c>
      <c r="Q167">
        <v>0</v>
      </c>
      <c r="R167" t="s">
        <v>219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</row>
    <row r="168" spans="1:30" x14ac:dyDescent="0.2">
      <c r="A168" s="2" t="s">
        <v>1605</v>
      </c>
      <c r="B168" t="s">
        <v>203</v>
      </c>
      <c r="C168" t="s">
        <v>1562</v>
      </c>
      <c r="D168" t="s">
        <v>91</v>
      </c>
      <c r="E168" s="8">
        <v>5</v>
      </c>
      <c r="F168">
        <v>20</v>
      </c>
      <c r="G168">
        <v>9</v>
      </c>
      <c r="H168">
        <v>24</v>
      </c>
      <c r="I168">
        <v>8</v>
      </c>
      <c r="J168">
        <v>11</v>
      </c>
      <c r="K168">
        <v>22</v>
      </c>
      <c r="L168" s="1">
        <v>32</v>
      </c>
      <c r="M168">
        <v>17</v>
      </c>
      <c r="N168">
        <v>3</v>
      </c>
      <c r="O168">
        <v>35</v>
      </c>
      <c r="P168">
        <v>1</v>
      </c>
      <c r="Q168">
        <v>0</v>
      </c>
      <c r="R168" t="s">
        <v>219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</row>
    <row r="169" spans="1:30" x14ac:dyDescent="0.2">
      <c r="A169" s="2" t="s">
        <v>1606</v>
      </c>
      <c r="B169" t="s">
        <v>203</v>
      </c>
      <c r="C169" t="s">
        <v>1563</v>
      </c>
      <c r="D169" t="s">
        <v>91</v>
      </c>
      <c r="E169" s="8">
        <v>5</v>
      </c>
      <c r="F169">
        <v>20</v>
      </c>
      <c r="G169">
        <v>9</v>
      </c>
      <c r="H169">
        <v>24</v>
      </c>
      <c r="I169">
        <v>8</v>
      </c>
      <c r="J169">
        <v>11</v>
      </c>
      <c r="K169">
        <v>22</v>
      </c>
      <c r="L169" s="1">
        <v>32</v>
      </c>
      <c r="M169">
        <v>17</v>
      </c>
      <c r="N169">
        <v>3</v>
      </c>
      <c r="O169">
        <v>35</v>
      </c>
      <c r="P169">
        <v>1</v>
      </c>
      <c r="Q169">
        <v>0</v>
      </c>
      <c r="R169" t="s">
        <v>219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</row>
    <row r="170" spans="1:30" x14ac:dyDescent="0.2">
      <c r="A170" s="2" t="s">
        <v>1607</v>
      </c>
      <c r="B170" t="s">
        <v>208</v>
      </c>
      <c r="C170" t="s">
        <v>1564</v>
      </c>
      <c r="D170" t="s">
        <v>91</v>
      </c>
      <c r="E170" s="8">
        <v>8</v>
      </c>
      <c r="F170">
        <v>18</v>
      </c>
      <c r="G170">
        <v>0</v>
      </c>
      <c r="H170">
        <v>42</v>
      </c>
      <c r="I170">
        <v>7</v>
      </c>
      <c r="J170">
        <v>0</v>
      </c>
      <c r="K170">
        <v>0</v>
      </c>
      <c r="L170" s="1">
        <v>36</v>
      </c>
      <c r="M170">
        <v>3</v>
      </c>
      <c r="N170">
        <v>3</v>
      </c>
      <c r="O170">
        <v>15</v>
      </c>
      <c r="P170">
        <v>1</v>
      </c>
      <c r="Q170">
        <v>0</v>
      </c>
      <c r="R170" t="s">
        <v>231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</row>
    <row r="171" spans="1:30" x14ac:dyDescent="0.2">
      <c r="A171" s="2" t="s">
        <v>1608</v>
      </c>
      <c r="B171" t="s">
        <v>206</v>
      </c>
      <c r="C171" t="s">
        <v>1565</v>
      </c>
      <c r="D171" t="s">
        <v>91</v>
      </c>
      <c r="E171" s="8">
        <v>50</v>
      </c>
      <c r="F171">
        <v>80</v>
      </c>
      <c r="G171">
        <v>130</v>
      </c>
      <c r="H171">
        <v>0</v>
      </c>
      <c r="I171">
        <v>85</v>
      </c>
      <c r="J171">
        <v>60</v>
      </c>
      <c r="K171">
        <v>0</v>
      </c>
      <c r="L171" s="1">
        <v>65</v>
      </c>
      <c r="M171">
        <v>32</v>
      </c>
      <c r="N171">
        <v>30</v>
      </c>
      <c r="O171">
        <v>21</v>
      </c>
      <c r="P171">
        <v>3</v>
      </c>
      <c r="Q171">
        <v>0</v>
      </c>
      <c r="R171" t="s">
        <v>227</v>
      </c>
      <c r="S171" t="s">
        <v>226</v>
      </c>
      <c r="T171" t="s">
        <v>230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</row>
    <row r="172" spans="1:30" x14ac:dyDescent="0.2">
      <c r="A172" s="2" t="s">
        <v>1609</v>
      </c>
      <c r="B172" t="s">
        <v>203</v>
      </c>
      <c r="C172" t="s">
        <v>1566</v>
      </c>
      <c r="D172" t="s">
        <v>91</v>
      </c>
      <c r="E172" s="8">
        <v>30</v>
      </c>
      <c r="F172">
        <v>25</v>
      </c>
      <c r="G172">
        <v>41</v>
      </c>
      <c r="H172">
        <v>48</v>
      </c>
      <c r="I172">
        <v>25</v>
      </c>
      <c r="J172">
        <v>25</v>
      </c>
      <c r="K172">
        <v>36</v>
      </c>
      <c r="L172" s="1">
        <v>45</v>
      </c>
      <c r="M172">
        <v>48</v>
      </c>
      <c r="N172">
        <v>9</v>
      </c>
      <c r="O172">
        <v>40</v>
      </c>
      <c r="P172">
        <v>1</v>
      </c>
      <c r="Q172">
        <v>0</v>
      </c>
      <c r="R172" t="s">
        <v>219</v>
      </c>
      <c r="S172" t="s">
        <v>232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</row>
    <row r="173" spans="1:30" x14ac:dyDescent="0.2">
      <c r="A173" s="2" t="s">
        <v>1610</v>
      </c>
      <c r="B173" t="s">
        <v>203</v>
      </c>
      <c r="C173" t="s">
        <v>1567</v>
      </c>
      <c r="D173" t="s">
        <v>91</v>
      </c>
      <c r="E173" s="8">
        <v>30</v>
      </c>
      <c r="F173">
        <v>25</v>
      </c>
      <c r="G173">
        <v>41</v>
      </c>
      <c r="H173">
        <v>48</v>
      </c>
      <c r="I173">
        <v>25</v>
      </c>
      <c r="J173">
        <v>25</v>
      </c>
      <c r="K173">
        <v>36</v>
      </c>
      <c r="L173" s="1">
        <v>45</v>
      </c>
      <c r="M173">
        <v>48</v>
      </c>
      <c r="N173">
        <v>9</v>
      </c>
      <c r="O173">
        <v>40</v>
      </c>
      <c r="P173">
        <v>1</v>
      </c>
      <c r="Q173">
        <v>0</v>
      </c>
      <c r="R173" t="s">
        <v>219</v>
      </c>
      <c r="S173" t="s">
        <v>232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</row>
    <row r="174" spans="1:30" x14ac:dyDescent="0.2">
      <c r="A174" s="2" t="s">
        <v>1611</v>
      </c>
      <c r="B174" t="s">
        <v>203</v>
      </c>
      <c r="C174" t="s">
        <v>1568</v>
      </c>
      <c r="D174" t="s">
        <v>91</v>
      </c>
      <c r="E174" s="8">
        <v>30</v>
      </c>
      <c r="F174">
        <v>25</v>
      </c>
      <c r="G174">
        <v>41</v>
      </c>
      <c r="H174">
        <v>48</v>
      </c>
      <c r="I174">
        <v>25</v>
      </c>
      <c r="J174">
        <v>23</v>
      </c>
      <c r="K174">
        <v>35</v>
      </c>
      <c r="L174" s="1">
        <v>45</v>
      </c>
      <c r="M174">
        <v>48</v>
      </c>
      <c r="N174">
        <v>8</v>
      </c>
      <c r="O174">
        <v>40</v>
      </c>
      <c r="P174">
        <v>1</v>
      </c>
      <c r="Q174">
        <v>0</v>
      </c>
      <c r="R174" t="s">
        <v>219</v>
      </c>
      <c r="S174" t="s">
        <v>232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</row>
    <row r="175" spans="1:30" x14ac:dyDescent="0.2">
      <c r="A175" s="2" t="s">
        <v>1612</v>
      </c>
      <c r="B175" t="s">
        <v>203</v>
      </c>
      <c r="C175" t="s">
        <v>1569</v>
      </c>
      <c r="D175" t="s">
        <v>91</v>
      </c>
      <c r="E175" s="8">
        <v>30</v>
      </c>
      <c r="F175">
        <v>25</v>
      </c>
      <c r="G175">
        <v>41</v>
      </c>
      <c r="H175">
        <v>48</v>
      </c>
      <c r="I175">
        <v>25</v>
      </c>
      <c r="J175">
        <v>23</v>
      </c>
      <c r="K175">
        <v>35</v>
      </c>
      <c r="L175" s="1">
        <v>45</v>
      </c>
      <c r="M175">
        <v>48</v>
      </c>
      <c r="N175">
        <v>8</v>
      </c>
      <c r="O175">
        <v>40</v>
      </c>
      <c r="P175">
        <v>1</v>
      </c>
      <c r="Q175">
        <v>0</v>
      </c>
      <c r="R175" t="s">
        <v>219</v>
      </c>
      <c r="S175" t="s">
        <v>232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</row>
    <row r="176" spans="1:30" x14ac:dyDescent="0.2">
      <c r="A176" s="2" t="s">
        <v>1613</v>
      </c>
      <c r="B176" t="s">
        <v>203</v>
      </c>
      <c r="C176" t="s">
        <v>1570</v>
      </c>
      <c r="D176" t="s">
        <v>91</v>
      </c>
      <c r="E176" s="8">
        <v>26</v>
      </c>
      <c r="F176">
        <v>23</v>
      </c>
      <c r="G176">
        <v>36</v>
      </c>
      <c r="H176">
        <v>44</v>
      </c>
      <c r="I176">
        <v>23</v>
      </c>
      <c r="J176">
        <v>21</v>
      </c>
      <c r="K176">
        <v>33</v>
      </c>
      <c r="L176" s="1">
        <v>43</v>
      </c>
      <c r="M176">
        <v>44</v>
      </c>
      <c r="N176">
        <v>8</v>
      </c>
      <c r="O176">
        <v>40</v>
      </c>
      <c r="P176">
        <v>1</v>
      </c>
      <c r="Q176">
        <v>0</v>
      </c>
      <c r="R176" t="s">
        <v>219</v>
      </c>
      <c r="S176" t="s">
        <v>232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</row>
    <row r="177" spans="1:26" x14ac:dyDescent="0.2">
      <c r="A177" s="2" t="s">
        <v>1614</v>
      </c>
      <c r="B177" t="s">
        <v>206</v>
      </c>
      <c r="C177" t="s">
        <v>1565</v>
      </c>
      <c r="D177" t="s">
        <v>91</v>
      </c>
      <c r="E177" s="8">
        <v>17</v>
      </c>
      <c r="F177">
        <v>74</v>
      </c>
      <c r="G177">
        <v>126</v>
      </c>
      <c r="H177">
        <v>0</v>
      </c>
      <c r="I177">
        <v>72</v>
      </c>
      <c r="J177">
        <v>72</v>
      </c>
      <c r="K177">
        <v>0</v>
      </c>
      <c r="L177" s="1">
        <v>48</v>
      </c>
      <c r="M177">
        <v>19</v>
      </c>
      <c r="N177">
        <v>15</v>
      </c>
      <c r="O177">
        <v>18</v>
      </c>
      <c r="P177">
        <v>3</v>
      </c>
      <c r="Q177">
        <v>0</v>
      </c>
      <c r="R177" t="s">
        <v>227</v>
      </c>
      <c r="S177" t="s">
        <v>226</v>
      </c>
      <c r="T177" t="s">
        <v>230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</row>
    <row r="178" spans="1:26" x14ac:dyDescent="0.2">
      <c r="A178" s="2" t="s">
        <v>1615</v>
      </c>
      <c r="B178" t="s">
        <v>206</v>
      </c>
      <c r="C178" t="s">
        <v>1571</v>
      </c>
      <c r="D178" t="s">
        <v>91</v>
      </c>
      <c r="E178" s="8">
        <v>15</v>
      </c>
      <c r="F178">
        <v>72</v>
      </c>
      <c r="G178">
        <v>124</v>
      </c>
      <c r="H178">
        <v>0</v>
      </c>
      <c r="I178">
        <v>70</v>
      </c>
      <c r="J178">
        <v>66</v>
      </c>
      <c r="K178">
        <v>0</v>
      </c>
      <c r="L178" s="1">
        <v>47</v>
      </c>
      <c r="M178">
        <v>19</v>
      </c>
      <c r="N178">
        <v>12</v>
      </c>
      <c r="O178">
        <v>18</v>
      </c>
      <c r="P178">
        <v>3</v>
      </c>
      <c r="Q178">
        <v>0</v>
      </c>
      <c r="R178" t="s">
        <v>227</v>
      </c>
      <c r="S178" t="s">
        <v>226</v>
      </c>
      <c r="T178" t="s">
        <v>230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</row>
    <row r="179" spans="1:26" x14ac:dyDescent="0.2">
      <c r="A179" s="2" t="s">
        <v>1616</v>
      </c>
      <c r="B179" t="s">
        <v>206</v>
      </c>
      <c r="C179" t="s">
        <v>1572</v>
      </c>
      <c r="D179" t="s">
        <v>91</v>
      </c>
      <c r="E179" s="8">
        <v>15</v>
      </c>
      <c r="F179">
        <v>72</v>
      </c>
      <c r="G179">
        <v>124</v>
      </c>
      <c r="H179">
        <v>0</v>
      </c>
      <c r="I179">
        <v>70</v>
      </c>
      <c r="J179">
        <v>66</v>
      </c>
      <c r="K179">
        <v>0</v>
      </c>
      <c r="L179" s="1">
        <v>47</v>
      </c>
      <c r="M179">
        <v>19</v>
      </c>
      <c r="N179">
        <v>12</v>
      </c>
      <c r="O179">
        <v>18</v>
      </c>
      <c r="P179">
        <v>3</v>
      </c>
      <c r="Q179">
        <v>0</v>
      </c>
      <c r="R179" t="s">
        <v>227</v>
      </c>
      <c r="S179" t="s">
        <v>226</v>
      </c>
      <c r="T179" t="s">
        <v>230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</row>
    <row r="180" spans="1:26" x14ac:dyDescent="0.2">
      <c r="A180" s="2" t="s">
        <v>1617</v>
      </c>
      <c r="B180" t="s">
        <v>204</v>
      </c>
      <c r="C180" t="s">
        <v>1573</v>
      </c>
      <c r="D180" t="s">
        <v>91</v>
      </c>
      <c r="E180" s="8">
        <v>3</v>
      </c>
      <c r="F180">
        <v>24</v>
      </c>
      <c r="G180">
        <v>20</v>
      </c>
      <c r="H180">
        <v>40</v>
      </c>
      <c r="I180">
        <v>14</v>
      </c>
      <c r="J180">
        <v>28</v>
      </c>
      <c r="K180">
        <v>28</v>
      </c>
      <c r="L180" s="1">
        <v>36</v>
      </c>
      <c r="M180">
        <v>30</v>
      </c>
      <c r="N180">
        <v>9</v>
      </c>
      <c r="O180">
        <v>30</v>
      </c>
      <c r="P180">
        <v>2</v>
      </c>
      <c r="Q180">
        <v>0</v>
      </c>
      <c r="R180" t="s">
        <v>224</v>
      </c>
      <c r="S180" t="s">
        <v>231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</row>
    <row r="181" spans="1:26" x14ac:dyDescent="0.2">
      <c r="A181" s="2" t="s">
        <v>1618</v>
      </c>
      <c r="B181" t="s">
        <v>204</v>
      </c>
      <c r="C181" t="s">
        <v>1574</v>
      </c>
      <c r="D181" t="s">
        <v>91</v>
      </c>
      <c r="E181" s="8">
        <v>3</v>
      </c>
      <c r="F181">
        <v>24</v>
      </c>
      <c r="G181">
        <v>20</v>
      </c>
      <c r="H181">
        <v>40</v>
      </c>
      <c r="I181">
        <v>14</v>
      </c>
      <c r="J181">
        <v>28</v>
      </c>
      <c r="K181">
        <v>28</v>
      </c>
      <c r="L181" s="1">
        <v>36</v>
      </c>
      <c r="M181">
        <v>30</v>
      </c>
      <c r="N181">
        <v>9</v>
      </c>
      <c r="O181">
        <v>30</v>
      </c>
      <c r="P181">
        <v>2</v>
      </c>
      <c r="Q181">
        <v>0</v>
      </c>
      <c r="R181" t="s">
        <v>224</v>
      </c>
      <c r="S181" t="s">
        <v>231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</row>
    <row r="182" spans="1:26" x14ac:dyDescent="0.2">
      <c r="A182" s="2" t="s">
        <v>1619</v>
      </c>
      <c r="B182" t="s">
        <v>204</v>
      </c>
      <c r="C182" t="s">
        <v>1575</v>
      </c>
      <c r="D182" t="s">
        <v>91</v>
      </c>
      <c r="E182" s="8">
        <v>3</v>
      </c>
      <c r="F182">
        <v>24</v>
      </c>
      <c r="G182">
        <v>20</v>
      </c>
      <c r="H182">
        <v>40</v>
      </c>
      <c r="I182">
        <v>14</v>
      </c>
      <c r="J182">
        <v>28</v>
      </c>
      <c r="K182">
        <v>28</v>
      </c>
      <c r="L182" s="1">
        <v>36</v>
      </c>
      <c r="M182">
        <v>30</v>
      </c>
      <c r="N182">
        <v>9</v>
      </c>
      <c r="O182">
        <v>30</v>
      </c>
      <c r="P182">
        <v>2</v>
      </c>
      <c r="Q182">
        <v>0</v>
      </c>
      <c r="R182" t="s">
        <v>224</v>
      </c>
      <c r="S182" t="s">
        <v>231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</row>
    <row r="183" spans="1:26" x14ac:dyDescent="0.2">
      <c r="A183" s="2" t="s">
        <v>1620</v>
      </c>
      <c r="B183" t="s">
        <v>21</v>
      </c>
      <c r="C183" t="s">
        <v>1576</v>
      </c>
      <c r="D183" t="s">
        <v>91</v>
      </c>
      <c r="E183" s="8">
        <v>53</v>
      </c>
      <c r="F183">
        <v>72</v>
      </c>
      <c r="G183">
        <v>40</v>
      </c>
      <c r="H183">
        <v>0</v>
      </c>
      <c r="I183">
        <v>60</v>
      </c>
      <c r="J183">
        <v>68</v>
      </c>
      <c r="K183">
        <v>0</v>
      </c>
      <c r="L183" s="1">
        <v>61</v>
      </c>
      <c r="M183">
        <v>39</v>
      </c>
      <c r="N183">
        <v>55</v>
      </c>
      <c r="O183">
        <v>30</v>
      </c>
      <c r="P183">
        <v>1</v>
      </c>
      <c r="Q183">
        <v>0</v>
      </c>
      <c r="R183" t="s">
        <v>1667</v>
      </c>
      <c r="S183" t="s">
        <v>1666</v>
      </c>
      <c r="T183" t="s">
        <v>1665</v>
      </c>
      <c r="V183">
        <f t="shared" si="7"/>
        <v>80</v>
      </c>
      <c r="W183">
        <v>20</v>
      </c>
      <c r="X183">
        <v>20</v>
      </c>
      <c r="Y183">
        <v>30</v>
      </c>
      <c r="Z183">
        <v>10</v>
      </c>
    </row>
    <row r="184" spans="1:26" x14ac:dyDescent="0.2">
      <c r="A184" s="2" t="s">
        <v>1621</v>
      </c>
      <c r="B184" t="s">
        <v>206</v>
      </c>
      <c r="C184" t="s">
        <v>1565</v>
      </c>
      <c r="D184" t="s">
        <v>91</v>
      </c>
      <c r="E184" s="8">
        <v>53</v>
      </c>
      <c r="F184">
        <v>78</v>
      </c>
      <c r="G184">
        <v>137</v>
      </c>
      <c r="H184">
        <v>0</v>
      </c>
      <c r="I184">
        <v>85</v>
      </c>
      <c r="J184">
        <v>76</v>
      </c>
      <c r="K184">
        <v>0</v>
      </c>
      <c r="L184" s="1">
        <v>66</v>
      </c>
      <c r="M184">
        <v>32</v>
      </c>
      <c r="N184">
        <v>24</v>
      </c>
      <c r="O184">
        <v>21</v>
      </c>
      <c r="P184">
        <v>3</v>
      </c>
      <c r="Q184">
        <v>0</v>
      </c>
      <c r="R184" t="s">
        <v>227</v>
      </c>
      <c r="S184" t="s">
        <v>226</v>
      </c>
      <c r="T184" t="s">
        <v>230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</row>
    <row r="185" spans="1:26" x14ac:dyDescent="0.2">
      <c r="A185" s="2" t="s">
        <v>1622</v>
      </c>
      <c r="B185" t="s">
        <v>206</v>
      </c>
      <c r="C185" t="s">
        <v>1571</v>
      </c>
      <c r="D185" t="s">
        <v>91</v>
      </c>
      <c r="E185" s="8">
        <v>47</v>
      </c>
      <c r="F185">
        <v>78</v>
      </c>
      <c r="G185">
        <v>134</v>
      </c>
      <c r="H185">
        <v>0</v>
      </c>
      <c r="I185">
        <v>80</v>
      </c>
      <c r="J185">
        <v>74</v>
      </c>
      <c r="K185">
        <v>0</v>
      </c>
      <c r="L185" s="1">
        <v>63</v>
      </c>
      <c r="M185">
        <v>29</v>
      </c>
      <c r="N185">
        <v>22</v>
      </c>
      <c r="O185">
        <v>21</v>
      </c>
      <c r="P185">
        <v>3</v>
      </c>
      <c r="Q185">
        <v>0</v>
      </c>
      <c r="R185" t="s">
        <v>227</v>
      </c>
      <c r="S185" t="s">
        <v>226</v>
      </c>
      <c r="T185" t="s">
        <v>230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</row>
    <row r="186" spans="1:26" x14ac:dyDescent="0.2">
      <c r="A186" s="2" t="s">
        <v>1623</v>
      </c>
      <c r="B186" t="s">
        <v>206</v>
      </c>
      <c r="C186" t="s">
        <v>1572</v>
      </c>
      <c r="D186" t="s">
        <v>91</v>
      </c>
      <c r="E186" s="8">
        <v>47</v>
      </c>
      <c r="F186">
        <v>78</v>
      </c>
      <c r="G186">
        <v>134</v>
      </c>
      <c r="H186">
        <v>0</v>
      </c>
      <c r="I186">
        <v>80</v>
      </c>
      <c r="J186">
        <v>74</v>
      </c>
      <c r="K186">
        <v>0</v>
      </c>
      <c r="L186" s="1">
        <v>63</v>
      </c>
      <c r="M186">
        <v>29</v>
      </c>
      <c r="N186">
        <v>22</v>
      </c>
      <c r="O186">
        <v>21</v>
      </c>
      <c r="P186">
        <v>3</v>
      </c>
      <c r="Q186">
        <v>0</v>
      </c>
      <c r="R186" t="s">
        <v>227</v>
      </c>
      <c r="S186" t="s">
        <v>226</v>
      </c>
      <c r="T186" t="s">
        <v>230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</row>
    <row r="187" spans="1:26" x14ac:dyDescent="0.2">
      <c r="A187" s="2" t="s">
        <v>1624</v>
      </c>
      <c r="B187" t="s">
        <v>203</v>
      </c>
      <c r="C187" t="s">
        <v>1577</v>
      </c>
      <c r="D187" t="s">
        <v>91</v>
      </c>
      <c r="E187" s="8">
        <v>35</v>
      </c>
      <c r="F187">
        <v>27</v>
      </c>
      <c r="G187">
        <v>42</v>
      </c>
      <c r="H187">
        <v>62</v>
      </c>
      <c r="I187">
        <v>18</v>
      </c>
      <c r="J187">
        <v>35</v>
      </c>
      <c r="K187">
        <v>35</v>
      </c>
      <c r="L187" s="1">
        <v>47</v>
      </c>
      <c r="M187">
        <v>49</v>
      </c>
      <c r="N187">
        <v>15</v>
      </c>
      <c r="O187">
        <v>40</v>
      </c>
      <c r="P187">
        <v>1</v>
      </c>
      <c r="Q187">
        <v>0</v>
      </c>
      <c r="R187" t="s">
        <v>220</v>
      </c>
      <c r="S187" t="s">
        <v>233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</row>
    <row r="188" spans="1:26" x14ac:dyDescent="0.2">
      <c r="A188" s="2" t="s">
        <v>1625</v>
      </c>
      <c r="B188" t="s">
        <v>203</v>
      </c>
      <c r="C188" t="s">
        <v>1578</v>
      </c>
      <c r="D188" t="s">
        <v>91</v>
      </c>
      <c r="E188" s="8">
        <v>35</v>
      </c>
      <c r="F188">
        <v>27</v>
      </c>
      <c r="G188">
        <v>42</v>
      </c>
      <c r="H188">
        <v>62</v>
      </c>
      <c r="I188">
        <v>18</v>
      </c>
      <c r="J188">
        <v>35</v>
      </c>
      <c r="K188">
        <v>35</v>
      </c>
      <c r="L188" s="1">
        <v>47</v>
      </c>
      <c r="M188">
        <v>49</v>
      </c>
      <c r="N188">
        <v>15</v>
      </c>
      <c r="O188">
        <v>40</v>
      </c>
      <c r="P188">
        <v>1</v>
      </c>
      <c r="Q188">
        <v>0</v>
      </c>
      <c r="R188" t="s">
        <v>220</v>
      </c>
      <c r="S188" t="s">
        <v>233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</row>
    <row r="189" spans="1:26" x14ac:dyDescent="0.2">
      <c r="A189" s="2" t="s">
        <v>1626</v>
      </c>
      <c r="B189" t="s">
        <v>206</v>
      </c>
      <c r="C189" t="s">
        <v>1579</v>
      </c>
      <c r="D189" t="s">
        <v>91</v>
      </c>
      <c r="E189" s="8">
        <v>17</v>
      </c>
      <c r="F189">
        <v>90</v>
      </c>
      <c r="G189">
        <v>109</v>
      </c>
      <c r="H189">
        <v>0</v>
      </c>
      <c r="I189">
        <v>80</v>
      </c>
      <c r="J189">
        <v>25</v>
      </c>
      <c r="K189">
        <v>0</v>
      </c>
      <c r="L189" s="1">
        <v>48</v>
      </c>
      <c r="M189">
        <v>26</v>
      </c>
      <c r="N189">
        <v>16</v>
      </c>
      <c r="O189">
        <v>30</v>
      </c>
      <c r="P189">
        <v>3</v>
      </c>
      <c r="Q189">
        <v>0</v>
      </c>
      <c r="R189" t="s">
        <v>226</v>
      </c>
      <c r="S189" t="s">
        <v>226</v>
      </c>
      <c r="T189" t="s">
        <v>230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</row>
    <row r="190" spans="1:26" x14ac:dyDescent="0.2">
      <c r="A190" s="2" t="s">
        <v>1627</v>
      </c>
      <c r="B190" t="s">
        <v>205</v>
      </c>
      <c r="C190" t="s">
        <v>1580</v>
      </c>
      <c r="D190" t="s">
        <v>91</v>
      </c>
      <c r="E190" s="8">
        <v>15</v>
      </c>
      <c r="F190">
        <v>54</v>
      </c>
      <c r="G190">
        <v>38</v>
      </c>
      <c r="H190">
        <v>20</v>
      </c>
      <c r="I190">
        <v>36</v>
      </c>
      <c r="J190">
        <v>22</v>
      </c>
      <c r="K190">
        <v>0</v>
      </c>
      <c r="L190" s="1">
        <v>44</v>
      </c>
      <c r="M190">
        <v>30</v>
      </c>
      <c r="N190">
        <v>14</v>
      </c>
      <c r="O190">
        <v>32</v>
      </c>
      <c r="P190">
        <v>2</v>
      </c>
      <c r="Q190">
        <v>0</v>
      </c>
      <c r="R190" t="s">
        <v>222</v>
      </c>
      <c r="S190" t="s">
        <v>231</v>
      </c>
      <c r="T190" t="s">
        <v>231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</row>
    <row r="191" spans="1:26" x14ac:dyDescent="0.2">
      <c r="A191" s="2" t="s">
        <v>1628</v>
      </c>
      <c r="B191" t="s">
        <v>203</v>
      </c>
      <c r="C191" t="s">
        <v>1581</v>
      </c>
      <c r="D191" t="s">
        <v>91</v>
      </c>
      <c r="E191" s="8">
        <v>5</v>
      </c>
      <c r="F191">
        <v>28</v>
      </c>
      <c r="G191">
        <v>9</v>
      </c>
      <c r="H191">
        <v>24</v>
      </c>
      <c r="I191">
        <v>8</v>
      </c>
      <c r="J191">
        <v>12</v>
      </c>
      <c r="K191">
        <v>21</v>
      </c>
      <c r="L191" s="1">
        <v>32</v>
      </c>
      <c r="M191">
        <v>30</v>
      </c>
      <c r="N191">
        <v>4</v>
      </c>
      <c r="O191">
        <v>35</v>
      </c>
      <c r="P191">
        <v>1</v>
      </c>
      <c r="Q191">
        <v>0</v>
      </c>
      <c r="R191" t="s">
        <v>219</v>
      </c>
      <c r="S191" t="s">
        <v>232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</row>
    <row r="192" spans="1:26" x14ac:dyDescent="0.2">
      <c r="A192" s="2" t="s">
        <v>1629</v>
      </c>
      <c r="B192" t="s">
        <v>203</v>
      </c>
      <c r="C192" t="s">
        <v>1581</v>
      </c>
      <c r="D192" t="s">
        <v>91</v>
      </c>
      <c r="E192" s="8">
        <v>5</v>
      </c>
      <c r="F192">
        <v>28</v>
      </c>
      <c r="G192">
        <v>9</v>
      </c>
      <c r="H192">
        <v>24</v>
      </c>
      <c r="I192">
        <v>8</v>
      </c>
      <c r="J192">
        <v>12</v>
      </c>
      <c r="K192">
        <v>21</v>
      </c>
      <c r="L192" s="1">
        <v>32</v>
      </c>
      <c r="M192">
        <v>30</v>
      </c>
      <c r="N192">
        <v>4</v>
      </c>
      <c r="O192">
        <v>35</v>
      </c>
      <c r="P192">
        <v>1</v>
      </c>
      <c r="Q192">
        <v>0</v>
      </c>
      <c r="R192" t="s">
        <v>219</v>
      </c>
      <c r="S192" t="s">
        <v>232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</row>
    <row r="193" spans="1:26" x14ac:dyDescent="0.2">
      <c r="A193" s="2" t="s">
        <v>1630</v>
      </c>
      <c r="B193" t="s">
        <v>203</v>
      </c>
      <c r="C193" t="s">
        <v>1581</v>
      </c>
      <c r="D193" t="s">
        <v>91</v>
      </c>
      <c r="E193" s="8">
        <v>5</v>
      </c>
      <c r="F193">
        <v>28</v>
      </c>
      <c r="G193">
        <v>9</v>
      </c>
      <c r="H193">
        <v>24</v>
      </c>
      <c r="I193">
        <v>8</v>
      </c>
      <c r="J193">
        <v>12</v>
      </c>
      <c r="K193">
        <v>21</v>
      </c>
      <c r="L193" s="1">
        <v>32</v>
      </c>
      <c r="M193">
        <v>30</v>
      </c>
      <c r="N193">
        <v>4</v>
      </c>
      <c r="O193">
        <v>35</v>
      </c>
      <c r="P193">
        <v>1</v>
      </c>
      <c r="Q193">
        <v>0</v>
      </c>
      <c r="R193" t="s">
        <v>219</v>
      </c>
      <c r="S193" t="s">
        <v>232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</row>
    <row r="194" spans="1:26" x14ac:dyDescent="0.2">
      <c r="A194" s="2" t="s">
        <v>1631</v>
      </c>
      <c r="B194" t="s">
        <v>203</v>
      </c>
      <c r="C194" t="s">
        <v>1581</v>
      </c>
      <c r="D194" t="s">
        <v>91</v>
      </c>
      <c r="E194" s="8">
        <v>5</v>
      </c>
      <c r="F194">
        <v>28</v>
      </c>
      <c r="G194">
        <v>9</v>
      </c>
      <c r="H194">
        <v>24</v>
      </c>
      <c r="I194">
        <v>8</v>
      </c>
      <c r="J194">
        <v>12</v>
      </c>
      <c r="K194">
        <v>21</v>
      </c>
      <c r="L194" s="1">
        <v>32</v>
      </c>
      <c r="M194">
        <v>30</v>
      </c>
      <c r="N194">
        <v>4</v>
      </c>
      <c r="O194">
        <v>35</v>
      </c>
      <c r="P194">
        <v>1</v>
      </c>
      <c r="Q194">
        <v>0</v>
      </c>
      <c r="R194" t="s">
        <v>219</v>
      </c>
      <c r="S194" t="s">
        <v>232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</row>
    <row r="195" spans="1:26" x14ac:dyDescent="0.2">
      <c r="A195" s="2" t="s">
        <v>1632</v>
      </c>
      <c r="B195" t="s">
        <v>206</v>
      </c>
      <c r="C195" t="s">
        <v>1579</v>
      </c>
      <c r="D195" t="s">
        <v>91</v>
      </c>
      <c r="E195" s="8">
        <v>47</v>
      </c>
      <c r="F195">
        <v>90</v>
      </c>
      <c r="G195">
        <v>132</v>
      </c>
      <c r="H195">
        <v>0</v>
      </c>
      <c r="I195">
        <v>100</v>
      </c>
      <c r="J195">
        <v>40</v>
      </c>
      <c r="K195">
        <v>0</v>
      </c>
      <c r="L195" s="1">
        <v>63</v>
      </c>
      <c r="M195">
        <v>38</v>
      </c>
      <c r="N195">
        <v>41</v>
      </c>
      <c r="O195">
        <v>30</v>
      </c>
      <c r="P195">
        <v>3</v>
      </c>
      <c r="Q195">
        <v>0</v>
      </c>
      <c r="R195" t="s">
        <v>227</v>
      </c>
      <c r="S195" t="s">
        <v>227</v>
      </c>
      <c r="T195" t="s">
        <v>243</v>
      </c>
      <c r="U195" t="s">
        <v>247</v>
      </c>
      <c r="V195">
        <f t="shared" si="7"/>
        <v>12</v>
      </c>
      <c r="W195">
        <v>3</v>
      </c>
      <c r="X195">
        <v>3</v>
      </c>
      <c r="Y195">
        <v>3</v>
      </c>
      <c r="Z195">
        <v>3</v>
      </c>
    </row>
    <row r="196" spans="1:26" x14ac:dyDescent="0.2">
      <c r="A196" s="2" t="s">
        <v>1633</v>
      </c>
      <c r="B196" t="s">
        <v>205</v>
      </c>
      <c r="C196" t="s">
        <v>1580</v>
      </c>
      <c r="D196" t="s">
        <v>91</v>
      </c>
      <c r="E196" s="8">
        <v>44</v>
      </c>
      <c r="F196">
        <v>54</v>
      </c>
      <c r="G196">
        <v>59</v>
      </c>
      <c r="H196">
        <v>0</v>
      </c>
      <c r="I196">
        <v>51</v>
      </c>
      <c r="J196">
        <v>52</v>
      </c>
      <c r="K196">
        <v>0</v>
      </c>
      <c r="L196" s="1">
        <v>59</v>
      </c>
      <c r="M196">
        <v>48</v>
      </c>
      <c r="N196">
        <v>36</v>
      </c>
      <c r="O196">
        <v>32</v>
      </c>
      <c r="P196">
        <v>2</v>
      </c>
      <c r="Q196">
        <v>0</v>
      </c>
      <c r="R196" t="s">
        <v>224</v>
      </c>
      <c r="S196" t="s">
        <v>232</v>
      </c>
      <c r="T196" t="s">
        <v>232</v>
      </c>
      <c r="V196">
        <f t="shared" si="7"/>
        <v>0</v>
      </c>
      <c r="W196">
        <v>0</v>
      </c>
      <c r="X196">
        <v>0</v>
      </c>
      <c r="Y196">
        <v>0</v>
      </c>
      <c r="Z196">
        <v>0</v>
      </c>
    </row>
    <row r="197" spans="1:26" x14ac:dyDescent="0.2">
      <c r="A197" s="2" t="s">
        <v>1634</v>
      </c>
      <c r="B197" t="s">
        <v>203</v>
      </c>
      <c r="C197" t="s">
        <v>1581</v>
      </c>
      <c r="D197" t="s">
        <v>91</v>
      </c>
      <c r="E197" s="8">
        <v>35</v>
      </c>
      <c r="F197">
        <v>27</v>
      </c>
      <c r="G197">
        <v>34</v>
      </c>
      <c r="H197">
        <v>64</v>
      </c>
      <c r="I197">
        <v>21</v>
      </c>
      <c r="J197">
        <v>33</v>
      </c>
      <c r="K197">
        <v>36</v>
      </c>
      <c r="L197" s="1">
        <v>47</v>
      </c>
      <c r="M197">
        <v>60</v>
      </c>
      <c r="N197">
        <v>12</v>
      </c>
      <c r="O197">
        <v>40</v>
      </c>
      <c r="P197">
        <v>1</v>
      </c>
      <c r="Q197">
        <v>0</v>
      </c>
      <c r="R197" t="s">
        <v>233</v>
      </c>
      <c r="S197" t="s">
        <v>220</v>
      </c>
      <c r="V197">
        <f t="shared" ref="V197:V224" si="8">SUM(W197:Z197)</f>
        <v>0</v>
      </c>
      <c r="W197">
        <v>0</v>
      </c>
      <c r="X197">
        <v>0</v>
      </c>
      <c r="Y197">
        <v>0</v>
      </c>
      <c r="Z197">
        <v>0</v>
      </c>
    </row>
    <row r="198" spans="1:26" x14ac:dyDescent="0.2">
      <c r="A198" s="2" t="s">
        <v>1635</v>
      </c>
      <c r="B198" t="s">
        <v>203</v>
      </c>
      <c r="C198" t="s">
        <v>1581</v>
      </c>
      <c r="D198" t="s">
        <v>91</v>
      </c>
      <c r="E198" s="8">
        <v>35</v>
      </c>
      <c r="F198">
        <v>27</v>
      </c>
      <c r="G198">
        <v>34</v>
      </c>
      <c r="H198">
        <v>64</v>
      </c>
      <c r="I198">
        <v>21</v>
      </c>
      <c r="J198">
        <v>33</v>
      </c>
      <c r="K198">
        <v>36</v>
      </c>
      <c r="L198" s="1">
        <v>47</v>
      </c>
      <c r="M198">
        <v>60</v>
      </c>
      <c r="N198">
        <v>12</v>
      </c>
      <c r="O198">
        <v>40</v>
      </c>
      <c r="P198">
        <v>1</v>
      </c>
      <c r="Q198">
        <v>0</v>
      </c>
      <c r="R198" t="s">
        <v>233</v>
      </c>
      <c r="S198" t="s">
        <v>220</v>
      </c>
      <c r="V198">
        <f t="shared" si="8"/>
        <v>0</v>
      </c>
      <c r="W198">
        <v>0</v>
      </c>
      <c r="X198">
        <v>0</v>
      </c>
      <c r="Y198">
        <v>0</v>
      </c>
      <c r="Z198">
        <v>0</v>
      </c>
    </row>
    <row r="199" spans="1:26" x14ac:dyDescent="0.2">
      <c r="A199" s="2" t="s">
        <v>1636</v>
      </c>
      <c r="B199" t="s">
        <v>208</v>
      </c>
      <c r="C199" t="s">
        <v>1582</v>
      </c>
      <c r="D199" t="s">
        <v>91</v>
      </c>
      <c r="E199" s="8">
        <v>29</v>
      </c>
      <c r="F199">
        <v>27</v>
      </c>
      <c r="G199">
        <v>0</v>
      </c>
      <c r="H199">
        <v>64</v>
      </c>
      <c r="I199">
        <v>21</v>
      </c>
      <c r="J199">
        <v>0</v>
      </c>
      <c r="K199">
        <v>0</v>
      </c>
      <c r="L199" s="1">
        <v>48</v>
      </c>
      <c r="M199">
        <v>5</v>
      </c>
      <c r="N199">
        <v>8</v>
      </c>
      <c r="O199">
        <v>15</v>
      </c>
      <c r="P199">
        <v>1</v>
      </c>
      <c r="Q199">
        <v>0</v>
      </c>
      <c r="R199" t="s">
        <v>233</v>
      </c>
      <c r="V199">
        <f t="shared" si="8"/>
        <v>0</v>
      </c>
      <c r="W199">
        <v>0</v>
      </c>
      <c r="X199">
        <v>0</v>
      </c>
      <c r="Y199">
        <v>0</v>
      </c>
      <c r="Z199">
        <v>0</v>
      </c>
    </row>
    <row r="200" spans="1:26" x14ac:dyDescent="0.2">
      <c r="A200" s="2" t="s">
        <v>1637</v>
      </c>
      <c r="B200" t="s">
        <v>208</v>
      </c>
      <c r="C200" t="s">
        <v>1582</v>
      </c>
      <c r="D200" t="s">
        <v>91</v>
      </c>
      <c r="E200" s="8">
        <v>29</v>
      </c>
      <c r="F200">
        <v>27</v>
      </c>
      <c r="G200">
        <v>0</v>
      </c>
      <c r="H200">
        <v>64</v>
      </c>
      <c r="I200">
        <v>21</v>
      </c>
      <c r="J200">
        <v>0</v>
      </c>
      <c r="K200">
        <v>0</v>
      </c>
      <c r="L200" s="1">
        <v>48</v>
      </c>
      <c r="M200">
        <v>5</v>
      </c>
      <c r="N200">
        <v>8</v>
      </c>
      <c r="O200">
        <v>15</v>
      </c>
      <c r="P200">
        <v>1</v>
      </c>
      <c r="Q200">
        <v>0</v>
      </c>
      <c r="R200" t="s">
        <v>233</v>
      </c>
      <c r="V200">
        <f t="shared" si="8"/>
        <v>0</v>
      </c>
      <c r="W200">
        <v>0</v>
      </c>
      <c r="X200">
        <v>0</v>
      </c>
      <c r="Y200">
        <v>0</v>
      </c>
      <c r="Z200">
        <v>0</v>
      </c>
    </row>
    <row r="201" spans="1:26" x14ac:dyDescent="0.2">
      <c r="A201" s="2" t="s">
        <v>1638</v>
      </c>
      <c r="B201" t="s">
        <v>90</v>
      </c>
      <c r="C201" t="s">
        <v>1583</v>
      </c>
      <c r="D201" t="s">
        <v>91</v>
      </c>
      <c r="E201" s="8">
        <v>20</v>
      </c>
      <c r="F201">
        <v>32</v>
      </c>
      <c r="G201">
        <v>0</v>
      </c>
      <c r="H201">
        <v>0</v>
      </c>
      <c r="I201">
        <v>19</v>
      </c>
      <c r="J201">
        <v>14</v>
      </c>
      <c r="K201">
        <v>0</v>
      </c>
      <c r="L201" s="1">
        <v>43</v>
      </c>
      <c r="M201">
        <v>28</v>
      </c>
      <c r="N201">
        <v>39</v>
      </c>
      <c r="O201">
        <v>25</v>
      </c>
      <c r="P201">
        <v>1</v>
      </c>
      <c r="Q201">
        <v>0</v>
      </c>
      <c r="R201" t="s">
        <v>1662</v>
      </c>
      <c r="S201" t="s">
        <v>1663</v>
      </c>
      <c r="T201" t="s">
        <v>1664</v>
      </c>
      <c r="V201">
        <f t="shared" si="8"/>
        <v>42</v>
      </c>
      <c r="W201">
        <v>14</v>
      </c>
      <c r="X201">
        <v>16</v>
      </c>
      <c r="Y201">
        <v>12</v>
      </c>
      <c r="Z201">
        <v>0</v>
      </c>
    </row>
    <row r="202" spans="1:26" x14ac:dyDescent="0.2">
      <c r="A202" s="2" t="s">
        <v>1639</v>
      </c>
      <c r="B202" t="s">
        <v>205</v>
      </c>
      <c r="C202" t="s">
        <v>1584</v>
      </c>
      <c r="D202" t="s">
        <v>91</v>
      </c>
      <c r="E202" s="8">
        <v>13</v>
      </c>
      <c r="F202">
        <v>37</v>
      </c>
      <c r="G202">
        <v>38</v>
      </c>
      <c r="H202">
        <v>12</v>
      </c>
      <c r="I202">
        <v>26</v>
      </c>
      <c r="J202">
        <v>16</v>
      </c>
      <c r="K202">
        <v>0</v>
      </c>
      <c r="L202" s="1">
        <v>43</v>
      </c>
      <c r="M202">
        <v>33</v>
      </c>
      <c r="N202">
        <v>11</v>
      </c>
      <c r="O202">
        <v>25</v>
      </c>
      <c r="P202">
        <v>2</v>
      </c>
      <c r="Q202">
        <v>0</v>
      </c>
      <c r="R202" t="s">
        <v>223</v>
      </c>
      <c r="S202" t="s">
        <v>231</v>
      </c>
      <c r="V202">
        <f t="shared" si="8"/>
        <v>0</v>
      </c>
      <c r="W202">
        <v>0</v>
      </c>
      <c r="X202">
        <v>0</v>
      </c>
      <c r="Y202">
        <v>0</v>
      </c>
      <c r="Z202">
        <v>0</v>
      </c>
    </row>
    <row r="203" spans="1:26" x14ac:dyDescent="0.2">
      <c r="A203" s="2" t="s">
        <v>1640</v>
      </c>
      <c r="B203" t="s">
        <v>205</v>
      </c>
      <c r="C203" t="s">
        <v>1585</v>
      </c>
      <c r="D203" t="s">
        <v>91</v>
      </c>
      <c r="E203" s="8">
        <v>13</v>
      </c>
      <c r="F203">
        <v>36</v>
      </c>
      <c r="G203">
        <v>38</v>
      </c>
      <c r="H203">
        <v>12</v>
      </c>
      <c r="I203">
        <v>25</v>
      </c>
      <c r="J203">
        <v>16</v>
      </c>
      <c r="K203">
        <v>0</v>
      </c>
      <c r="L203" s="1">
        <v>43</v>
      </c>
      <c r="M203">
        <v>33</v>
      </c>
      <c r="N203">
        <v>11</v>
      </c>
      <c r="O203">
        <v>25</v>
      </c>
      <c r="P203">
        <v>2</v>
      </c>
      <c r="Q203">
        <v>0</v>
      </c>
      <c r="R203" t="s">
        <v>223</v>
      </c>
      <c r="S203" t="s">
        <v>231</v>
      </c>
      <c r="V203">
        <f t="shared" si="8"/>
        <v>0</v>
      </c>
      <c r="W203">
        <v>0</v>
      </c>
      <c r="X203">
        <v>0</v>
      </c>
      <c r="Y203">
        <v>0</v>
      </c>
      <c r="Z203">
        <v>0</v>
      </c>
    </row>
    <row r="204" spans="1:26" x14ac:dyDescent="0.2">
      <c r="A204" s="2" t="s">
        <v>1641</v>
      </c>
      <c r="B204" t="s">
        <v>205</v>
      </c>
      <c r="C204" t="s">
        <v>1586</v>
      </c>
      <c r="D204" t="s">
        <v>91</v>
      </c>
      <c r="E204" s="8">
        <v>13</v>
      </c>
      <c r="F204">
        <v>36</v>
      </c>
      <c r="G204">
        <v>38</v>
      </c>
      <c r="H204">
        <v>12</v>
      </c>
      <c r="I204">
        <v>25</v>
      </c>
      <c r="J204">
        <v>16</v>
      </c>
      <c r="K204">
        <v>0</v>
      </c>
      <c r="L204" s="1">
        <v>43</v>
      </c>
      <c r="M204">
        <v>33</v>
      </c>
      <c r="N204">
        <v>11</v>
      </c>
      <c r="O204">
        <v>25</v>
      </c>
      <c r="P204">
        <v>2</v>
      </c>
      <c r="Q204">
        <v>0</v>
      </c>
      <c r="R204" t="s">
        <v>223</v>
      </c>
      <c r="S204" t="s">
        <v>231</v>
      </c>
      <c r="V204">
        <f t="shared" si="8"/>
        <v>0</v>
      </c>
      <c r="W204">
        <v>0</v>
      </c>
      <c r="X204">
        <v>0</v>
      </c>
      <c r="Y204">
        <v>0</v>
      </c>
      <c r="Z204">
        <v>0</v>
      </c>
    </row>
    <row r="205" spans="1:26" x14ac:dyDescent="0.2">
      <c r="A205" s="2" t="s">
        <v>1642</v>
      </c>
      <c r="B205" t="s">
        <v>205</v>
      </c>
      <c r="C205" t="s">
        <v>1587</v>
      </c>
      <c r="D205" t="s">
        <v>91</v>
      </c>
      <c r="E205" s="8">
        <v>13</v>
      </c>
      <c r="F205">
        <v>37</v>
      </c>
      <c r="G205">
        <v>38</v>
      </c>
      <c r="H205">
        <v>12</v>
      </c>
      <c r="I205">
        <v>36</v>
      </c>
      <c r="J205">
        <v>16</v>
      </c>
      <c r="K205">
        <v>0</v>
      </c>
      <c r="L205" s="1">
        <v>43</v>
      </c>
      <c r="M205">
        <v>33</v>
      </c>
      <c r="N205">
        <v>11</v>
      </c>
      <c r="O205">
        <v>25</v>
      </c>
      <c r="P205">
        <v>2</v>
      </c>
      <c r="Q205">
        <v>0</v>
      </c>
      <c r="R205" t="s">
        <v>223</v>
      </c>
      <c r="S205" t="s">
        <v>231</v>
      </c>
      <c r="V205">
        <f t="shared" si="8"/>
        <v>0</v>
      </c>
      <c r="W205">
        <v>0</v>
      </c>
      <c r="X205">
        <v>0</v>
      </c>
      <c r="Y205">
        <v>0</v>
      </c>
      <c r="Z205">
        <v>0</v>
      </c>
    </row>
    <row r="206" spans="1:26" x14ac:dyDescent="0.2">
      <c r="A206" s="2" t="s">
        <v>1643</v>
      </c>
      <c r="B206" t="s">
        <v>203</v>
      </c>
      <c r="C206" t="s">
        <v>1588</v>
      </c>
      <c r="D206" t="s">
        <v>91</v>
      </c>
      <c r="E206" s="8">
        <v>5</v>
      </c>
      <c r="F206">
        <v>15</v>
      </c>
      <c r="G206">
        <v>11</v>
      </c>
      <c r="H206">
        <v>27</v>
      </c>
      <c r="I206">
        <v>5</v>
      </c>
      <c r="J206">
        <v>12</v>
      </c>
      <c r="K206">
        <v>20</v>
      </c>
      <c r="L206" s="1">
        <v>32</v>
      </c>
      <c r="M206">
        <v>41</v>
      </c>
      <c r="N206">
        <v>5</v>
      </c>
      <c r="O206">
        <v>35</v>
      </c>
      <c r="P206">
        <v>1</v>
      </c>
      <c r="Q206">
        <v>0</v>
      </c>
      <c r="R206" t="s">
        <v>219</v>
      </c>
      <c r="V206">
        <f t="shared" si="8"/>
        <v>0</v>
      </c>
      <c r="W206">
        <v>0</v>
      </c>
      <c r="X206">
        <v>0</v>
      </c>
      <c r="Y206">
        <v>0</v>
      </c>
      <c r="Z206">
        <v>0</v>
      </c>
    </row>
    <row r="207" spans="1:26" x14ac:dyDescent="0.2">
      <c r="A207" s="2" t="s">
        <v>1644</v>
      </c>
      <c r="B207" t="s">
        <v>21</v>
      </c>
      <c r="C207" t="s">
        <v>1589</v>
      </c>
      <c r="D207" t="s">
        <v>91</v>
      </c>
      <c r="E207" s="8">
        <v>41</v>
      </c>
      <c r="F207">
        <v>62</v>
      </c>
      <c r="G207">
        <v>39</v>
      </c>
      <c r="H207">
        <v>0</v>
      </c>
      <c r="I207">
        <v>49</v>
      </c>
      <c r="J207">
        <v>69</v>
      </c>
      <c r="K207">
        <v>0</v>
      </c>
      <c r="L207" s="1">
        <v>54</v>
      </c>
      <c r="M207">
        <v>47</v>
      </c>
      <c r="N207">
        <v>49</v>
      </c>
      <c r="O207">
        <v>30</v>
      </c>
      <c r="P207">
        <v>2</v>
      </c>
      <c r="Q207">
        <v>0</v>
      </c>
      <c r="R207" t="s">
        <v>1667</v>
      </c>
      <c r="S207" t="s">
        <v>1666</v>
      </c>
      <c r="T207" t="s">
        <v>1665</v>
      </c>
      <c r="V207">
        <f t="shared" si="8"/>
        <v>75</v>
      </c>
      <c r="W207">
        <v>21</v>
      </c>
      <c r="X207">
        <v>21</v>
      </c>
      <c r="Y207">
        <v>21</v>
      </c>
      <c r="Z207">
        <v>12</v>
      </c>
    </row>
    <row r="208" spans="1:26" x14ac:dyDescent="0.2">
      <c r="A208" s="2" t="s">
        <v>1645</v>
      </c>
      <c r="B208" t="s">
        <v>21</v>
      </c>
      <c r="C208" t="s">
        <v>1590</v>
      </c>
      <c r="D208" t="s">
        <v>91</v>
      </c>
      <c r="E208" s="8">
        <v>41</v>
      </c>
      <c r="F208">
        <v>62</v>
      </c>
      <c r="G208">
        <v>39</v>
      </c>
      <c r="H208">
        <v>0</v>
      </c>
      <c r="I208">
        <v>49</v>
      </c>
      <c r="J208">
        <v>69</v>
      </c>
      <c r="K208">
        <v>0</v>
      </c>
      <c r="L208" s="1">
        <v>54</v>
      </c>
      <c r="M208">
        <v>49</v>
      </c>
      <c r="N208">
        <v>49</v>
      </c>
      <c r="O208">
        <v>30</v>
      </c>
      <c r="P208">
        <v>2</v>
      </c>
      <c r="Q208">
        <v>0</v>
      </c>
      <c r="R208" t="s">
        <v>1667</v>
      </c>
      <c r="S208" t="s">
        <v>1666</v>
      </c>
      <c r="T208" t="s">
        <v>1665</v>
      </c>
      <c r="V208">
        <f t="shared" si="8"/>
        <v>75</v>
      </c>
      <c r="W208">
        <v>21</v>
      </c>
      <c r="X208">
        <v>21</v>
      </c>
      <c r="Y208">
        <v>21</v>
      </c>
      <c r="Z208">
        <v>12</v>
      </c>
    </row>
    <row r="209" spans="1:26" x14ac:dyDescent="0.2">
      <c r="A209" s="2" t="s">
        <v>1646</v>
      </c>
      <c r="B209" t="s">
        <v>205</v>
      </c>
      <c r="C209" t="s">
        <v>1591</v>
      </c>
      <c r="D209" t="s">
        <v>91</v>
      </c>
      <c r="E209" s="8">
        <v>44</v>
      </c>
      <c r="F209">
        <v>45</v>
      </c>
      <c r="G209">
        <v>65</v>
      </c>
      <c r="H209">
        <v>59</v>
      </c>
      <c r="I209">
        <v>49</v>
      </c>
      <c r="J209">
        <v>64</v>
      </c>
      <c r="K209">
        <v>0</v>
      </c>
      <c r="L209" s="1">
        <v>59</v>
      </c>
      <c r="M209">
        <v>45</v>
      </c>
      <c r="N209">
        <v>33</v>
      </c>
      <c r="O209">
        <v>30</v>
      </c>
      <c r="P209">
        <v>2</v>
      </c>
      <c r="Q209">
        <v>0</v>
      </c>
      <c r="R209" t="s">
        <v>223</v>
      </c>
      <c r="S209" t="s">
        <v>224</v>
      </c>
      <c r="T209" t="s">
        <v>233</v>
      </c>
      <c r="U209" t="s">
        <v>243</v>
      </c>
      <c r="V209">
        <f t="shared" si="8"/>
        <v>12</v>
      </c>
      <c r="W209">
        <v>3</v>
      </c>
      <c r="X209">
        <v>3</v>
      </c>
      <c r="Y209">
        <v>3</v>
      </c>
      <c r="Z209">
        <v>3</v>
      </c>
    </row>
    <row r="210" spans="1:26" x14ac:dyDescent="0.2">
      <c r="A210" s="2" t="s">
        <v>1647</v>
      </c>
      <c r="B210" t="s">
        <v>205</v>
      </c>
      <c r="C210" t="s">
        <v>1592</v>
      </c>
      <c r="D210" t="s">
        <v>91</v>
      </c>
      <c r="E210" s="8">
        <v>44</v>
      </c>
      <c r="F210">
        <v>44</v>
      </c>
      <c r="G210">
        <v>65</v>
      </c>
      <c r="H210">
        <v>49</v>
      </c>
      <c r="I210">
        <v>49</v>
      </c>
      <c r="J210">
        <v>54</v>
      </c>
      <c r="K210">
        <v>0</v>
      </c>
      <c r="L210" s="1">
        <v>59</v>
      </c>
      <c r="M210">
        <v>45</v>
      </c>
      <c r="N210">
        <v>33</v>
      </c>
      <c r="O210">
        <v>30</v>
      </c>
      <c r="P210">
        <v>2</v>
      </c>
      <c r="Q210">
        <v>0</v>
      </c>
      <c r="R210" t="s">
        <v>223</v>
      </c>
      <c r="S210" t="s">
        <v>224</v>
      </c>
      <c r="T210" t="s">
        <v>233</v>
      </c>
      <c r="U210" t="s">
        <v>243</v>
      </c>
      <c r="V210">
        <f t="shared" si="8"/>
        <v>12</v>
      </c>
      <c r="W210">
        <v>3</v>
      </c>
      <c r="X210">
        <v>3</v>
      </c>
      <c r="Y210">
        <v>3</v>
      </c>
      <c r="Z210">
        <v>3</v>
      </c>
    </row>
    <row r="211" spans="1:26" x14ac:dyDescent="0.2">
      <c r="A211" s="2" t="s">
        <v>1648</v>
      </c>
      <c r="B211" t="s">
        <v>203</v>
      </c>
      <c r="C211" t="s">
        <v>1593</v>
      </c>
      <c r="D211" t="s">
        <v>91</v>
      </c>
      <c r="E211" s="8">
        <v>35</v>
      </c>
      <c r="F211">
        <v>15</v>
      </c>
      <c r="G211">
        <v>35</v>
      </c>
      <c r="H211">
        <v>69</v>
      </c>
      <c r="I211">
        <v>19</v>
      </c>
      <c r="J211">
        <v>39</v>
      </c>
      <c r="K211">
        <v>35</v>
      </c>
      <c r="L211" s="1">
        <v>47</v>
      </c>
      <c r="M211">
        <v>60</v>
      </c>
      <c r="N211">
        <v>12</v>
      </c>
      <c r="O211">
        <v>40</v>
      </c>
      <c r="P211">
        <v>2</v>
      </c>
      <c r="Q211">
        <v>0</v>
      </c>
      <c r="R211" t="s">
        <v>219</v>
      </c>
      <c r="S211" t="s">
        <v>232</v>
      </c>
      <c r="V211">
        <f t="shared" si="8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1649</v>
      </c>
      <c r="B212" t="s">
        <v>203</v>
      </c>
      <c r="C212" t="s">
        <v>1594</v>
      </c>
      <c r="D212" t="s">
        <v>91</v>
      </c>
      <c r="E212" s="8">
        <v>35</v>
      </c>
      <c r="F212">
        <v>15</v>
      </c>
      <c r="G212">
        <v>35</v>
      </c>
      <c r="H212">
        <v>69</v>
      </c>
      <c r="I212">
        <v>19</v>
      </c>
      <c r="J212">
        <v>39</v>
      </c>
      <c r="K212">
        <v>35</v>
      </c>
      <c r="L212" s="1">
        <v>47</v>
      </c>
      <c r="M212">
        <v>60</v>
      </c>
      <c r="N212">
        <v>12</v>
      </c>
      <c r="O212">
        <v>40</v>
      </c>
      <c r="P212">
        <v>2</v>
      </c>
      <c r="Q212">
        <v>0</v>
      </c>
      <c r="R212" t="s">
        <v>219</v>
      </c>
      <c r="S212" t="s">
        <v>232</v>
      </c>
      <c r="V212">
        <f t="shared" si="8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1650</v>
      </c>
      <c r="B213" t="s">
        <v>205</v>
      </c>
      <c r="C213" t="s">
        <v>1595</v>
      </c>
      <c r="D213" t="s">
        <v>91</v>
      </c>
      <c r="E213" s="8">
        <v>21</v>
      </c>
      <c r="F213">
        <v>60</v>
      </c>
      <c r="G213">
        <v>53</v>
      </c>
      <c r="H213">
        <v>24</v>
      </c>
      <c r="I213">
        <v>34</v>
      </c>
      <c r="J213">
        <v>18</v>
      </c>
      <c r="K213">
        <v>0</v>
      </c>
      <c r="L213" s="1">
        <v>47</v>
      </c>
      <c r="M213">
        <v>33</v>
      </c>
      <c r="N213">
        <v>12</v>
      </c>
      <c r="O213">
        <v>25</v>
      </c>
      <c r="P213">
        <v>2</v>
      </c>
      <c r="Q213">
        <v>0</v>
      </c>
      <c r="R213" t="s">
        <v>223</v>
      </c>
      <c r="S213" t="s">
        <v>231</v>
      </c>
      <c r="V213">
        <f t="shared" si="8"/>
        <v>12</v>
      </c>
      <c r="W213">
        <v>3</v>
      </c>
      <c r="X213">
        <v>3</v>
      </c>
      <c r="Y213">
        <v>3</v>
      </c>
      <c r="Z213">
        <v>3</v>
      </c>
    </row>
    <row r="214" spans="1:26" x14ac:dyDescent="0.2">
      <c r="A214" s="2" t="s">
        <v>1651</v>
      </c>
      <c r="B214" t="s">
        <v>205</v>
      </c>
      <c r="C214" t="s">
        <v>1596</v>
      </c>
      <c r="D214" t="s">
        <v>91</v>
      </c>
      <c r="E214" s="8">
        <v>17</v>
      </c>
      <c r="F214">
        <v>58</v>
      </c>
      <c r="G214">
        <v>47</v>
      </c>
      <c r="H214">
        <v>20</v>
      </c>
      <c r="I214">
        <v>32</v>
      </c>
      <c r="J214">
        <v>16</v>
      </c>
      <c r="K214">
        <v>0</v>
      </c>
      <c r="L214" s="1">
        <v>45</v>
      </c>
      <c r="M214">
        <v>33</v>
      </c>
      <c r="N214">
        <v>11</v>
      </c>
      <c r="O214">
        <v>25</v>
      </c>
      <c r="P214">
        <v>2</v>
      </c>
      <c r="Q214">
        <v>0</v>
      </c>
      <c r="R214" t="s">
        <v>223</v>
      </c>
      <c r="S214" t="s">
        <v>231</v>
      </c>
      <c r="V214">
        <f t="shared" si="8"/>
        <v>12</v>
      </c>
      <c r="W214">
        <v>3</v>
      </c>
      <c r="X214">
        <v>3</v>
      </c>
      <c r="Y214">
        <v>3</v>
      </c>
      <c r="Z214">
        <v>3</v>
      </c>
    </row>
    <row r="215" spans="1:26" x14ac:dyDescent="0.2">
      <c r="A215" s="2" t="s">
        <v>1652</v>
      </c>
      <c r="B215" t="s">
        <v>205</v>
      </c>
      <c r="C215" t="s">
        <v>1597</v>
      </c>
      <c r="D215" t="s">
        <v>91</v>
      </c>
      <c r="E215" s="8">
        <v>17</v>
      </c>
      <c r="F215">
        <v>58</v>
      </c>
      <c r="G215">
        <v>47</v>
      </c>
      <c r="H215">
        <v>20</v>
      </c>
      <c r="I215">
        <v>32</v>
      </c>
      <c r="J215">
        <v>16</v>
      </c>
      <c r="K215">
        <v>0</v>
      </c>
      <c r="L215" s="1">
        <v>45</v>
      </c>
      <c r="M215">
        <v>33</v>
      </c>
      <c r="N215">
        <v>11</v>
      </c>
      <c r="O215">
        <v>25</v>
      </c>
      <c r="P215">
        <v>2</v>
      </c>
      <c r="Q215">
        <v>0</v>
      </c>
      <c r="R215" t="s">
        <v>223</v>
      </c>
      <c r="S215" t="s">
        <v>231</v>
      </c>
      <c r="V215">
        <f t="shared" si="8"/>
        <v>12</v>
      </c>
      <c r="W215">
        <v>3</v>
      </c>
      <c r="X215">
        <v>3</v>
      </c>
      <c r="Y215">
        <v>3</v>
      </c>
      <c r="Z215">
        <v>3</v>
      </c>
    </row>
    <row r="216" spans="1:26" x14ac:dyDescent="0.2">
      <c r="A216" s="2" t="s">
        <v>1653</v>
      </c>
      <c r="B216" t="s">
        <v>203</v>
      </c>
      <c r="C216" t="s">
        <v>1598</v>
      </c>
      <c r="D216" t="s">
        <v>91</v>
      </c>
      <c r="E216" s="8">
        <v>15</v>
      </c>
      <c r="F216">
        <v>25</v>
      </c>
      <c r="G216">
        <v>11</v>
      </c>
      <c r="H216">
        <v>32</v>
      </c>
      <c r="I216">
        <v>8</v>
      </c>
      <c r="J216">
        <v>12</v>
      </c>
      <c r="K216">
        <v>38</v>
      </c>
      <c r="L216" s="1">
        <v>37</v>
      </c>
      <c r="M216">
        <v>40</v>
      </c>
      <c r="N216">
        <v>12</v>
      </c>
      <c r="O216">
        <v>35</v>
      </c>
      <c r="P216">
        <v>1</v>
      </c>
      <c r="Q216">
        <v>0</v>
      </c>
      <c r="R216" t="s">
        <v>219</v>
      </c>
      <c r="S216" t="s">
        <v>232</v>
      </c>
      <c r="T216" t="s">
        <v>261</v>
      </c>
      <c r="V216">
        <f t="shared" si="8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1654</v>
      </c>
      <c r="B217" t="s">
        <v>206</v>
      </c>
      <c r="C217" t="s">
        <v>1576</v>
      </c>
      <c r="D217" t="s">
        <v>91</v>
      </c>
      <c r="E217" s="8">
        <v>16</v>
      </c>
      <c r="F217">
        <v>88</v>
      </c>
      <c r="G217">
        <v>110</v>
      </c>
      <c r="H217">
        <v>0</v>
      </c>
      <c r="I217">
        <v>80</v>
      </c>
      <c r="J217">
        <v>25</v>
      </c>
      <c r="K217">
        <v>0</v>
      </c>
      <c r="L217" s="1">
        <v>47</v>
      </c>
      <c r="M217">
        <v>25</v>
      </c>
      <c r="N217">
        <v>14</v>
      </c>
      <c r="O217">
        <v>30</v>
      </c>
      <c r="P217">
        <v>3</v>
      </c>
      <c r="Q217">
        <v>0</v>
      </c>
      <c r="R217" t="s">
        <v>226</v>
      </c>
      <c r="S217" t="s">
        <v>226</v>
      </c>
      <c r="T217" t="s">
        <v>230</v>
      </c>
      <c r="V217">
        <f t="shared" si="8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1655</v>
      </c>
      <c r="B218" t="s">
        <v>203</v>
      </c>
      <c r="C218" t="s">
        <v>1599</v>
      </c>
      <c r="D218" t="s">
        <v>91</v>
      </c>
      <c r="E218" s="8">
        <v>15</v>
      </c>
      <c r="F218">
        <v>26</v>
      </c>
      <c r="G218">
        <v>13</v>
      </c>
      <c r="H218">
        <v>36</v>
      </c>
      <c r="I218">
        <v>8</v>
      </c>
      <c r="J218">
        <v>12</v>
      </c>
      <c r="K218">
        <v>40</v>
      </c>
      <c r="L218" s="1">
        <v>37</v>
      </c>
      <c r="M218">
        <v>40</v>
      </c>
      <c r="N218">
        <v>12</v>
      </c>
      <c r="O218">
        <v>35</v>
      </c>
      <c r="P218">
        <v>1</v>
      </c>
      <c r="Q218">
        <v>0</v>
      </c>
      <c r="R218" t="s">
        <v>219</v>
      </c>
      <c r="S218" t="s">
        <v>232</v>
      </c>
      <c r="T218" t="s">
        <v>261</v>
      </c>
      <c r="V218">
        <f t="shared" si="8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1656</v>
      </c>
      <c r="B219" t="s">
        <v>205</v>
      </c>
      <c r="C219" t="s">
        <v>1595</v>
      </c>
      <c r="D219" t="s">
        <v>91</v>
      </c>
      <c r="E219" s="8">
        <v>41</v>
      </c>
      <c r="F219">
        <v>34</v>
      </c>
      <c r="G219">
        <v>41</v>
      </c>
      <c r="H219">
        <v>12</v>
      </c>
      <c r="I219">
        <v>15</v>
      </c>
      <c r="J219">
        <v>54</v>
      </c>
      <c r="K219">
        <v>0</v>
      </c>
      <c r="L219" s="1">
        <v>57</v>
      </c>
      <c r="M219">
        <v>58</v>
      </c>
      <c r="N219">
        <v>33</v>
      </c>
      <c r="O219">
        <v>30</v>
      </c>
      <c r="P219">
        <v>2</v>
      </c>
      <c r="Q219">
        <v>0</v>
      </c>
      <c r="R219" t="s">
        <v>223</v>
      </c>
      <c r="S219" t="s">
        <v>224</v>
      </c>
      <c r="T219" t="s">
        <v>233</v>
      </c>
      <c r="U219" t="s">
        <v>243</v>
      </c>
      <c r="V219">
        <f t="shared" si="8"/>
        <v>12</v>
      </c>
      <c r="W219">
        <v>3</v>
      </c>
      <c r="X219">
        <v>3</v>
      </c>
      <c r="Y219">
        <v>3</v>
      </c>
      <c r="Z219">
        <v>3</v>
      </c>
    </row>
    <row r="220" spans="1:26" x14ac:dyDescent="0.2">
      <c r="A220" s="2" t="s">
        <v>1657</v>
      </c>
      <c r="B220" t="s">
        <v>205</v>
      </c>
      <c r="C220" t="s">
        <v>1596</v>
      </c>
      <c r="D220" t="s">
        <v>91</v>
      </c>
      <c r="E220" s="8">
        <v>40</v>
      </c>
      <c r="F220">
        <v>32</v>
      </c>
      <c r="G220">
        <v>41</v>
      </c>
      <c r="H220">
        <v>12</v>
      </c>
      <c r="I220">
        <v>15</v>
      </c>
      <c r="J220">
        <v>54</v>
      </c>
      <c r="K220">
        <v>0</v>
      </c>
      <c r="L220" s="1">
        <v>57</v>
      </c>
      <c r="M220">
        <v>53</v>
      </c>
      <c r="N220">
        <v>33</v>
      </c>
      <c r="O220">
        <v>30</v>
      </c>
      <c r="P220">
        <v>2</v>
      </c>
      <c r="Q220">
        <v>0</v>
      </c>
      <c r="R220" t="s">
        <v>223</v>
      </c>
      <c r="S220" t="s">
        <v>224</v>
      </c>
      <c r="T220" t="s">
        <v>233</v>
      </c>
      <c r="U220" t="s">
        <v>243</v>
      </c>
      <c r="V220">
        <f t="shared" si="8"/>
        <v>12</v>
      </c>
      <c r="W220">
        <v>3</v>
      </c>
      <c r="X220">
        <v>3</v>
      </c>
      <c r="Y220">
        <v>3</v>
      </c>
      <c r="Z220">
        <v>3</v>
      </c>
    </row>
    <row r="221" spans="1:26" x14ac:dyDescent="0.2">
      <c r="A221" s="2" t="s">
        <v>1658</v>
      </c>
      <c r="B221" t="s">
        <v>205</v>
      </c>
      <c r="C221" t="s">
        <v>1597</v>
      </c>
      <c r="D221" t="s">
        <v>91</v>
      </c>
      <c r="E221" s="8">
        <v>40</v>
      </c>
      <c r="F221">
        <v>32</v>
      </c>
      <c r="G221">
        <v>41</v>
      </c>
      <c r="H221">
        <v>12</v>
      </c>
      <c r="I221">
        <v>15</v>
      </c>
      <c r="J221">
        <v>54</v>
      </c>
      <c r="K221">
        <v>0</v>
      </c>
      <c r="L221" s="1">
        <v>57</v>
      </c>
      <c r="M221">
        <v>53</v>
      </c>
      <c r="N221">
        <v>33</v>
      </c>
      <c r="O221">
        <v>30</v>
      </c>
      <c r="P221">
        <v>2</v>
      </c>
      <c r="Q221">
        <v>0</v>
      </c>
      <c r="R221" t="s">
        <v>223</v>
      </c>
      <c r="S221" t="s">
        <v>224</v>
      </c>
      <c r="T221" t="s">
        <v>233</v>
      </c>
      <c r="U221" t="s">
        <v>243</v>
      </c>
      <c r="V221">
        <f t="shared" si="8"/>
        <v>12</v>
      </c>
      <c r="W221">
        <v>3</v>
      </c>
      <c r="X221">
        <v>3</v>
      </c>
      <c r="Y221">
        <v>3</v>
      </c>
      <c r="Z221">
        <v>3</v>
      </c>
    </row>
    <row r="222" spans="1:26" x14ac:dyDescent="0.2">
      <c r="A222" s="2" t="s">
        <v>1659</v>
      </c>
      <c r="B222" t="s">
        <v>203</v>
      </c>
      <c r="C222" t="s">
        <v>1598</v>
      </c>
      <c r="D222" t="s">
        <v>91</v>
      </c>
      <c r="E222" s="8">
        <v>35</v>
      </c>
      <c r="F222">
        <v>35</v>
      </c>
      <c r="G222">
        <v>24</v>
      </c>
      <c r="H222">
        <v>64</v>
      </c>
      <c r="I222">
        <v>12</v>
      </c>
      <c r="J222">
        <v>32</v>
      </c>
      <c r="K222">
        <v>15</v>
      </c>
      <c r="L222" s="1">
        <v>47</v>
      </c>
      <c r="M222">
        <v>60</v>
      </c>
      <c r="N222">
        <v>12</v>
      </c>
      <c r="O222">
        <v>40</v>
      </c>
      <c r="P222">
        <v>1</v>
      </c>
      <c r="Q222">
        <v>0</v>
      </c>
      <c r="R222" t="s">
        <v>220</v>
      </c>
      <c r="S222" t="s">
        <v>233</v>
      </c>
      <c r="T222" t="s">
        <v>260</v>
      </c>
      <c r="V222">
        <f t="shared" si="8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1660</v>
      </c>
      <c r="B223" t="s">
        <v>203</v>
      </c>
      <c r="C223" t="s">
        <v>1599</v>
      </c>
      <c r="D223" t="s">
        <v>91</v>
      </c>
      <c r="E223" s="8">
        <v>35</v>
      </c>
      <c r="F223">
        <v>35</v>
      </c>
      <c r="G223">
        <v>24</v>
      </c>
      <c r="H223">
        <v>64</v>
      </c>
      <c r="I223">
        <v>12</v>
      </c>
      <c r="J223">
        <v>32</v>
      </c>
      <c r="K223">
        <v>15</v>
      </c>
      <c r="L223" s="1">
        <v>47</v>
      </c>
      <c r="M223">
        <v>60</v>
      </c>
      <c r="N223">
        <v>12</v>
      </c>
      <c r="O223">
        <v>40</v>
      </c>
      <c r="P223">
        <v>1</v>
      </c>
      <c r="Q223">
        <v>0</v>
      </c>
      <c r="R223" t="s">
        <v>220</v>
      </c>
      <c r="S223" t="s">
        <v>233</v>
      </c>
      <c r="T223" t="s">
        <v>260</v>
      </c>
      <c r="V223">
        <f t="shared" si="8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1661</v>
      </c>
      <c r="B224" t="s">
        <v>204</v>
      </c>
      <c r="C224" t="s">
        <v>1600</v>
      </c>
      <c r="D224" t="s">
        <v>91</v>
      </c>
      <c r="E224" s="8">
        <v>32</v>
      </c>
      <c r="F224">
        <v>50</v>
      </c>
      <c r="G224">
        <v>43</v>
      </c>
      <c r="H224">
        <v>66</v>
      </c>
      <c r="I224">
        <v>28</v>
      </c>
      <c r="J224">
        <v>28</v>
      </c>
      <c r="K224">
        <v>16</v>
      </c>
      <c r="L224" s="1">
        <v>51</v>
      </c>
      <c r="M224">
        <v>48</v>
      </c>
      <c r="N224">
        <v>20</v>
      </c>
      <c r="O224">
        <v>30</v>
      </c>
      <c r="P224">
        <v>2</v>
      </c>
      <c r="Q224">
        <v>0</v>
      </c>
      <c r="R224" t="s">
        <v>224</v>
      </c>
      <c r="S224" t="s">
        <v>232</v>
      </c>
      <c r="T224" t="s">
        <v>260</v>
      </c>
      <c r="V224">
        <f t="shared" si="8"/>
        <v>6</v>
      </c>
      <c r="W224">
        <v>2</v>
      </c>
      <c r="X224">
        <v>2</v>
      </c>
      <c r="Y224">
        <v>2</v>
      </c>
      <c r="Z224">
        <v>0</v>
      </c>
    </row>
  </sheetData>
  <autoFilter ref="A1:AC216" xr:uid="{00000000-0009-0000-0000-000003000000}">
    <sortState xmlns:xlrd2="http://schemas.microsoft.com/office/spreadsheetml/2017/richdata2" ref="A2:AC224">
      <sortCondition ref="A1:A216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2 A160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E14" activePane="bottomRight" state="frozen"/>
      <selection pane="topRight" activeCell="F1" sqref="F1"/>
      <selection pane="bottomLeft" activeCell="A2" sqref="A2"/>
      <selection pane="bottomRight" activeCell="G29" sqref="G29"/>
    </sheetView>
  </sheetViews>
  <sheetFormatPr defaultColWidth="8.875" defaultRowHeight="14.25" x14ac:dyDescent="0.2"/>
  <cols>
    <col min="1" max="1" width="9" style="2"/>
    <col min="2" max="2" width="13.625" bestFit="1" customWidth="1"/>
    <col min="3" max="3" width="19.125" bestFit="1" customWidth="1"/>
    <col min="4" max="4" width="15.12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1685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2497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2311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242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2235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2235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2143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1669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1669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1669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1669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2069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1670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1670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2069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1"/>
    <col min="7" max="12" width="9" style="2"/>
    <col min="13" max="13" width="11.125" style="22" customWidth="1"/>
    <col min="14" max="17" width="11.125" style="2" customWidth="1"/>
    <col min="18" max="18" width="11.125" style="23" customWidth="1"/>
    <col min="19" max="19" width="9" style="24"/>
    <col min="20" max="25" width="9" style="2"/>
    <col min="26" max="26" width="11.125" style="22" customWidth="1"/>
    <col min="27" max="30" width="11.125" style="2" customWidth="1"/>
    <col min="31" max="31" width="11.125" style="23" customWidth="1"/>
    <col min="32" max="32" width="9" style="24"/>
    <col min="33" max="38" width="9" style="2"/>
    <col min="39" max="39" width="11.125" style="22" customWidth="1"/>
    <col min="40" max="44" width="11.125" style="2" customWidth="1"/>
    <col min="45" max="45" width="9" style="24"/>
  </cols>
  <sheetData>
    <row r="1" spans="1:44" x14ac:dyDescent="0.2">
      <c r="A1" s="2" t="s">
        <v>2121</v>
      </c>
      <c r="B1" s="2" t="s">
        <v>1</v>
      </c>
      <c r="C1" s="2" t="s">
        <v>216</v>
      </c>
      <c r="D1" s="3" t="s">
        <v>2130</v>
      </c>
      <c r="E1" s="3" t="s">
        <v>2131</v>
      </c>
      <c r="F1" s="41" t="s">
        <v>2122</v>
      </c>
      <c r="G1" s="39"/>
      <c r="H1" s="39"/>
      <c r="I1" s="39"/>
      <c r="J1" s="39"/>
      <c r="K1" s="39"/>
      <c r="L1" s="39"/>
      <c r="M1" s="38" t="s">
        <v>2123</v>
      </c>
      <c r="N1" s="39"/>
      <c r="O1" s="39"/>
      <c r="P1" s="39"/>
      <c r="Q1" s="39"/>
      <c r="R1" s="40"/>
      <c r="S1" s="41" t="s">
        <v>2124</v>
      </c>
      <c r="T1" s="39"/>
      <c r="U1" s="39"/>
      <c r="V1" s="39"/>
      <c r="W1" s="39"/>
      <c r="X1" s="39"/>
      <c r="Y1" s="39"/>
      <c r="Z1" s="38" t="s">
        <v>2125</v>
      </c>
      <c r="AA1" s="39"/>
      <c r="AB1" s="39"/>
      <c r="AC1" s="39"/>
      <c r="AD1" s="39"/>
      <c r="AE1" s="40"/>
      <c r="AF1" s="41" t="s">
        <v>2126</v>
      </c>
      <c r="AG1" s="39"/>
      <c r="AH1" s="39"/>
      <c r="AI1" s="39"/>
      <c r="AJ1" s="39"/>
      <c r="AK1" s="39"/>
      <c r="AL1" s="39"/>
      <c r="AM1" s="38" t="s">
        <v>2127</v>
      </c>
      <c r="AN1" s="39"/>
      <c r="AO1" s="39"/>
      <c r="AP1" s="39"/>
      <c r="AQ1" s="39"/>
      <c r="AR1" s="40"/>
    </row>
    <row r="2" spans="1:44" x14ac:dyDescent="0.2">
      <c r="A2" s="2" t="s">
        <v>1833</v>
      </c>
      <c r="B2" s="2" t="s">
        <v>2132</v>
      </c>
      <c r="C2" s="2" t="s">
        <v>2133</v>
      </c>
      <c r="D2" s="3">
        <v>0</v>
      </c>
      <c r="E2" s="3">
        <v>0</v>
      </c>
      <c r="F2" s="27"/>
      <c r="G2" s="26"/>
      <c r="H2" s="26"/>
      <c r="I2" s="26"/>
      <c r="J2" s="26"/>
      <c r="K2" s="26"/>
      <c r="L2" s="26"/>
      <c r="M2" s="25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7"/>
      <c r="T2" s="26"/>
      <c r="U2" s="26"/>
      <c r="V2" s="26"/>
      <c r="W2" s="26"/>
      <c r="X2" s="26"/>
      <c r="Y2" s="26"/>
      <c r="Z2" s="25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7"/>
      <c r="AG2" s="26"/>
      <c r="AH2" s="26"/>
      <c r="AI2" s="26"/>
      <c r="AJ2" s="26"/>
      <c r="AK2" s="26"/>
      <c r="AL2" s="26"/>
      <c r="AM2" s="25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2129</v>
      </c>
      <c r="C3" s="2" t="s">
        <v>2128</v>
      </c>
      <c r="D3" s="3">
        <v>1</v>
      </c>
      <c r="E3" s="3">
        <v>0</v>
      </c>
      <c r="F3" s="21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5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5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5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2128</v>
      </c>
      <c r="D4" s="3">
        <v>2</v>
      </c>
      <c r="E4" s="3">
        <v>0</v>
      </c>
      <c r="F4" s="21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5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5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5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2128</v>
      </c>
      <c r="D5" s="3">
        <v>3</v>
      </c>
      <c r="E5" s="3">
        <v>0</v>
      </c>
      <c r="F5" s="21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5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5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5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2140</v>
      </c>
      <c r="C6" s="2" t="s">
        <v>2128</v>
      </c>
      <c r="D6" s="3">
        <v>5</v>
      </c>
      <c r="E6" s="3">
        <v>0</v>
      </c>
      <c r="F6" s="21">
        <v>1</v>
      </c>
      <c r="G6" s="2" t="s">
        <v>2134</v>
      </c>
      <c r="H6" s="2" t="s">
        <v>2135</v>
      </c>
      <c r="I6" s="2" t="s">
        <v>2136</v>
      </c>
      <c r="J6" s="2" t="s">
        <v>2137</v>
      </c>
      <c r="K6" s="2" t="s">
        <v>2138</v>
      </c>
      <c r="L6" s="2" t="s">
        <v>2139</v>
      </c>
      <c r="M6" s="25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5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5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2151</v>
      </c>
      <c r="C7" s="2" t="s">
        <v>2128</v>
      </c>
      <c r="D7" s="3">
        <v>1</v>
      </c>
      <c r="E7" s="3">
        <v>0</v>
      </c>
      <c r="F7" s="21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5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5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5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2152</v>
      </c>
      <c r="C8" s="2" t="s">
        <v>2128</v>
      </c>
      <c r="D8" s="3">
        <v>2</v>
      </c>
      <c r="E8" s="3">
        <v>0</v>
      </c>
      <c r="F8" s="21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5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5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5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2153</v>
      </c>
      <c r="C9" s="2" t="s">
        <v>2128</v>
      </c>
      <c r="D9" s="3">
        <v>3</v>
      </c>
      <c r="E9" s="3">
        <v>0</v>
      </c>
      <c r="F9" s="21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5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5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5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2140</v>
      </c>
      <c r="C10" s="2" t="s">
        <v>2128</v>
      </c>
      <c r="D10" s="3">
        <v>5</v>
      </c>
      <c r="E10" s="3">
        <v>0</v>
      </c>
      <c r="F10" s="21">
        <v>4</v>
      </c>
      <c r="G10" s="2" t="s">
        <v>2238</v>
      </c>
      <c r="H10" s="2" t="s">
        <v>2239</v>
      </c>
      <c r="I10" s="2" t="s">
        <v>2243</v>
      </c>
      <c r="J10" s="2" t="s">
        <v>2245</v>
      </c>
      <c r="K10" s="2" t="s">
        <v>2246</v>
      </c>
      <c r="L10" s="2" t="s">
        <v>2247</v>
      </c>
      <c r="M10" s="22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1">
        <v>2</v>
      </c>
      <c r="T10" s="2" t="s">
        <v>2238</v>
      </c>
      <c r="U10" s="2" t="s">
        <v>2239</v>
      </c>
      <c r="V10" s="2" t="s">
        <v>2243</v>
      </c>
      <c r="W10" s="2" t="s">
        <v>2245</v>
      </c>
      <c r="X10" s="2" t="s">
        <v>2246</v>
      </c>
      <c r="Y10" s="2" t="s">
        <v>2247</v>
      </c>
      <c r="Z10" s="25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1">
        <v>5</v>
      </c>
      <c r="AG10" s="2" t="s">
        <v>2238</v>
      </c>
      <c r="AH10" s="2" t="s">
        <v>2239</v>
      </c>
      <c r="AI10" s="2" t="s">
        <v>2243</v>
      </c>
      <c r="AJ10" s="2" t="s">
        <v>2245</v>
      </c>
      <c r="AK10" s="2" t="s">
        <v>2246</v>
      </c>
      <c r="AL10" s="2" t="s">
        <v>2247</v>
      </c>
      <c r="AM10" s="25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2151</v>
      </c>
      <c r="C11" s="2" t="s">
        <v>2128</v>
      </c>
      <c r="D11" s="3">
        <v>1</v>
      </c>
      <c r="E11" s="3">
        <v>0</v>
      </c>
      <c r="F11" s="21">
        <v>2</v>
      </c>
      <c r="G11" s="2" t="s">
        <v>359</v>
      </c>
      <c r="H11" s="2" t="s">
        <v>2360</v>
      </c>
      <c r="I11" s="2" t="s">
        <v>2360</v>
      </c>
      <c r="J11" s="2" t="s">
        <v>2361</v>
      </c>
      <c r="K11" s="2" t="s">
        <v>445</v>
      </c>
      <c r="L11" s="2" t="s">
        <v>2362</v>
      </c>
      <c r="M11" s="22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2363</v>
      </c>
      <c r="B12" s="2" t="s">
        <v>2129</v>
      </c>
      <c r="C12" s="2" t="s">
        <v>2128</v>
      </c>
      <c r="D12" s="3">
        <v>1</v>
      </c>
      <c r="E12" s="3">
        <v>0</v>
      </c>
      <c r="F12" s="21">
        <v>1</v>
      </c>
      <c r="G12" s="2" t="s">
        <v>359</v>
      </c>
      <c r="H12" s="2" t="s">
        <v>347</v>
      </c>
      <c r="I12" s="2" t="s">
        <v>2364</v>
      </c>
      <c r="J12" s="2" t="s">
        <v>465</v>
      </c>
      <c r="K12" s="2" t="s">
        <v>445</v>
      </c>
      <c r="L12" s="2" t="s">
        <v>2361</v>
      </c>
      <c r="M12" s="22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2362</v>
      </c>
      <c r="B13" s="2" t="s">
        <v>1937</v>
      </c>
      <c r="C13" s="2" t="s">
        <v>2128</v>
      </c>
      <c r="D13" s="3">
        <v>1</v>
      </c>
      <c r="E13" s="3">
        <v>0</v>
      </c>
      <c r="F13" s="21">
        <v>1</v>
      </c>
      <c r="G13" s="2" t="s">
        <v>415</v>
      </c>
      <c r="H13" s="2" t="s">
        <v>347</v>
      </c>
      <c r="I13" s="2" t="s">
        <v>2360</v>
      </c>
      <c r="J13" s="2" t="s">
        <v>2360</v>
      </c>
      <c r="K13" s="2" t="s">
        <v>445</v>
      </c>
      <c r="L13" s="2" t="s">
        <v>2364</v>
      </c>
      <c r="M13" s="22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2365</v>
      </c>
      <c r="B14" s="2" t="s">
        <v>2152</v>
      </c>
      <c r="C14" s="2" t="s">
        <v>2128</v>
      </c>
      <c r="D14" s="3">
        <v>2</v>
      </c>
      <c r="E14" s="3">
        <v>1</v>
      </c>
      <c r="F14" s="21">
        <v>2</v>
      </c>
      <c r="G14" s="2" t="s">
        <v>359</v>
      </c>
      <c r="H14" s="2" t="s">
        <v>359</v>
      </c>
      <c r="I14" s="2" t="s">
        <v>2366</v>
      </c>
      <c r="J14" s="2" t="s">
        <v>461</v>
      </c>
      <c r="K14" s="2" t="s">
        <v>2361</v>
      </c>
      <c r="L14" s="2" t="s">
        <v>2364</v>
      </c>
      <c r="M14" s="22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2367</v>
      </c>
      <c r="B15" s="2" t="s">
        <v>70</v>
      </c>
      <c r="C15" s="2" t="s">
        <v>2128</v>
      </c>
      <c r="D15" s="3">
        <v>2</v>
      </c>
      <c r="E15" s="3">
        <v>0</v>
      </c>
      <c r="F15" s="21">
        <v>1</v>
      </c>
      <c r="G15" s="2" t="s">
        <v>359</v>
      </c>
      <c r="H15" s="2" t="s">
        <v>2366</v>
      </c>
      <c r="I15" s="2" t="s">
        <v>347</v>
      </c>
      <c r="J15" s="2" t="s">
        <v>2360</v>
      </c>
      <c r="K15" s="2" t="s">
        <v>2360</v>
      </c>
      <c r="L15" s="2" t="s">
        <v>2361</v>
      </c>
      <c r="M15" s="22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2368</v>
      </c>
      <c r="B16" s="2" t="s">
        <v>68</v>
      </c>
      <c r="C16" s="2" t="s">
        <v>2128</v>
      </c>
      <c r="D16" s="3">
        <v>2</v>
      </c>
      <c r="E16" s="3">
        <v>0</v>
      </c>
      <c r="F16" s="21">
        <v>2</v>
      </c>
      <c r="G16" s="2" t="s">
        <v>359</v>
      </c>
      <c r="H16" s="2" t="s">
        <v>359</v>
      </c>
      <c r="I16" s="2" t="s">
        <v>2360</v>
      </c>
      <c r="J16" s="2" t="s">
        <v>347</v>
      </c>
      <c r="K16" s="2" t="s">
        <v>2361</v>
      </c>
      <c r="L16" s="2" t="s">
        <v>465</v>
      </c>
      <c r="M16" s="22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2369</v>
      </c>
      <c r="B17" s="2" t="s">
        <v>2153</v>
      </c>
      <c r="C17" s="2" t="s">
        <v>2128</v>
      </c>
      <c r="D17" s="3">
        <v>3</v>
      </c>
      <c r="E17" s="3">
        <v>0</v>
      </c>
      <c r="F17" s="21">
        <v>1</v>
      </c>
      <c r="G17" s="2" t="s">
        <v>359</v>
      </c>
      <c r="H17" s="2" t="s">
        <v>359</v>
      </c>
      <c r="I17" s="2" t="s">
        <v>359</v>
      </c>
      <c r="J17" s="2" t="s">
        <v>2360</v>
      </c>
      <c r="K17" s="2" t="s">
        <v>2360</v>
      </c>
      <c r="L17" s="2" t="s">
        <v>2364</v>
      </c>
      <c r="M17" s="22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2370</v>
      </c>
      <c r="B18" s="2" t="s">
        <v>71</v>
      </c>
      <c r="C18" s="2" t="s">
        <v>2371</v>
      </c>
      <c r="D18" s="3">
        <v>4</v>
      </c>
      <c r="E18" s="3">
        <v>0</v>
      </c>
      <c r="M18" s="22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2372</v>
      </c>
      <c r="B19" s="2" t="s">
        <v>3</v>
      </c>
      <c r="C19" s="2" t="s">
        <v>2371</v>
      </c>
      <c r="D19" s="3">
        <v>2</v>
      </c>
      <c r="E19" s="3">
        <v>0</v>
      </c>
      <c r="M19" s="22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2373</v>
      </c>
      <c r="B20" s="2" t="s">
        <v>2374</v>
      </c>
      <c r="C20" s="2" t="s">
        <v>2371</v>
      </c>
      <c r="D20" s="3">
        <v>4</v>
      </c>
      <c r="E20" s="3">
        <v>0</v>
      </c>
      <c r="M20" s="22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2375</v>
      </c>
      <c r="B21" s="2" t="s">
        <v>2376</v>
      </c>
      <c r="C21" s="2" t="s">
        <v>2128</v>
      </c>
      <c r="D21" s="3">
        <v>3</v>
      </c>
      <c r="E21" s="3">
        <v>0</v>
      </c>
      <c r="F21" s="21">
        <v>1</v>
      </c>
      <c r="G21" s="2" t="s">
        <v>359</v>
      </c>
      <c r="H21" s="2" t="s">
        <v>359</v>
      </c>
      <c r="I21" s="2" t="s">
        <v>359</v>
      </c>
      <c r="J21" s="2" t="s">
        <v>2361</v>
      </c>
      <c r="K21" s="2" t="s">
        <v>2361</v>
      </c>
      <c r="L21" s="2" t="s">
        <v>2361</v>
      </c>
      <c r="M21" s="22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2377</v>
      </c>
      <c r="B22" s="2" t="s">
        <v>2378</v>
      </c>
      <c r="C22" s="2" t="s">
        <v>2128</v>
      </c>
      <c r="D22" s="3">
        <v>3</v>
      </c>
      <c r="E22" s="3">
        <v>0</v>
      </c>
      <c r="F22" s="21">
        <v>1</v>
      </c>
      <c r="G22" s="2" t="s">
        <v>2379</v>
      </c>
      <c r="H22" s="2" t="s">
        <v>2366</v>
      </c>
      <c r="I22" s="2" t="s">
        <v>2366</v>
      </c>
      <c r="J22" s="2" t="s">
        <v>347</v>
      </c>
      <c r="K22" s="2" t="s">
        <v>347</v>
      </c>
      <c r="L22" s="2" t="s">
        <v>2361</v>
      </c>
      <c r="M22" s="22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2380</v>
      </c>
      <c r="B23" s="2" t="s">
        <v>2381</v>
      </c>
      <c r="C23" s="2" t="s">
        <v>2128</v>
      </c>
      <c r="D23" s="3">
        <v>5</v>
      </c>
      <c r="E23" s="3">
        <v>0</v>
      </c>
      <c r="F23" s="21">
        <v>4</v>
      </c>
      <c r="G23" s="2" t="s">
        <v>2382</v>
      </c>
      <c r="H23" s="2" t="s">
        <v>2298</v>
      </c>
      <c r="I23" s="2" t="s">
        <v>2301</v>
      </c>
      <c r="J23" s="2" t="s">
        <v>2303</v>
      </c>
      <c r="K23" s="2" t="s">
        <v>2383</v>
      </c>
      <c r="L23" s="2" t="s">
        <v>2384</v>
      </c>
      <c r="M23" s="22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2385</v>
      </c>
      <c r="B24" s="2" t="s">
        <v>2381</v>
      </c>
      <c r="C24" s="2" t="s">
        <v>2128</v>
      </c>
      <c r="D24" s="3">
        <v>5</v>
      </c>
      <c r="E24" s="3">
        <v>0</v>
      </c>
      <c r="F24" s="21">
        <v>4</v>
      </c>
      <c r="G24" s="2" t="s">
        <v>2382</v>
      </c>
      <c r="H24" s="2" t="s">
        <v>2386</v>
      </c>
      <c r="I24" s="2" t="s">
        <v>2301</v>
      </c>
      <c r="J24" s="2" t="s">
        <v>2303</v>
      </c>
      <c r="K24" s="2" t="s">
        <v>2387</v>
      </c>
      <c r="L24" s="2" t="s">
        <v>2384</v>
      </c>
      <c r="M24" s="22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2388</v>
      </c>
      <c r="B25" s="2" t="s">
        <v>2381</v>
      </c>
      <c r="C25" s="2" t="s">
        <v>2128</v>
      </c>
      <c r="D25" s="3">
        <v>5</v>
      </c>
      <c r="E25" s="3">
        <v>0</v>
      </c>
      <c r="F25" s="21">
        <v>4</v>
      </c>
      <c r="G25" s="2" t="s">
        <v>2382</v>
      </c>
      <c r="H25" s="2" t="s">
        <v>2386</v>
      </c>
      <c r="I25" s="2" t="s">
        <v>2301</v>
      </c>
      <c r="J25" s="2" t="s">
        <v>2303</v>
      </c>
      <c r="K25" s="2" t="s">
        <v>2387</v>
      </c>
      <c r="L25" s="2" t="s">
        <v>2384</v>
      </c>
      <c r="M25" s="22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2025-09-25T15:03:38Z</dcterms:modified>
</cp:coreProperties>
</file>