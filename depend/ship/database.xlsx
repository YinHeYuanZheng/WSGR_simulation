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EE2802A8-79FB-474A-BFCD-BC4AD32B8657}" xr6:coauthVersionLast="47" xr6:coauthVersionMax="47" xr10:uidLastSave="{00000000-0000-0000-0000-000000000000}"/>
  <bookViews>
    <workbookView xWindow="7500" yWindow="1245" windowWidth="20775" windowHeight="13035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'舰船数据-深海'!$A$1:$AC$221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69" i="2" l="1"/>
  <c r="V168" i="2"/>
  <c r="V167" i="2"/>
  <c r="V166" i="2"/>
  <c r="V165" i="2"/>
  <c r="R187" i="1"/>
  <c r="R140" i="1"/>
  <c r="R135" i="1"/>
  <c r="R45" i="1"/>
  <c r="R140" i="6"/>
  <c r="R97" i="6"/>
  <c r="R137" i="6"/>
  <c r="R191" i="1"/>
  <c r="R188" i="1"/>
  <c r="R111" i="1"/>
  <c r="R198" i="1"/>
  <c r="R206" i="1"/>
  <c r="R208" i="1"/>
  <c r="R136" i="6"/>
  <c r="R135" i="6"/>
  <c r="R138" i="6"/>
  <c r="R139" i="6" l="1"/>
  <c r="V106" i="2"/>
  <c r="R215" i="1"/>
  <c r="R214" i="1"/>
  <c r="R212" i="1"/>
  <c r="R210" i="1"/>
  <c r="R203" i="1"/>
  <c r="R170" i="1"/>
  <c r="R164" i="1"/>
  <c r="R162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79" i="1"/>
  <c r="R201" i="1"/>
  <c r="R45" i="6"/>
  <c r="R129" i="6"/>
  <c r="V155" i="2"/>
  <c r="V151" i="2"/>
  <c r="V152" i="2"/>
  <c r="V153" i="2"/>
  <c r="V154" i="2"/>
  <c r="V156" i="2"/>
  <c r="V157" i="2"/>
  <c r="R133" i="1" l="1"/>
  <c r="R213" i="1"/>
  <c r="R205" i="1"/>
  <c r="R47" i="6"/>
  <c r="R27" i="6" l="1"/>
  <c r="R128" i="6"/>
  <c r="R178" i="1"/>
  <c r="R182" i="1"/>
  <c r="R211" i="1"/>
  <c r="R51" i="6"/>
  <c r="R17" i="6"/>
  <c r="R49" i="1"/>
  <c r="R48" i="1"/>
  <c r="R197" i="1"/>
  <c r="R194" i="1"/>
  <c r="R207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5" i="1"/>
  <c r="R195" i="1"/>
  <c r="R152" i="1"/>
  <c r="R127" i="6"/>
  <c r="R124" i="6"/>
  <c r="V101" i="2"/>
  <c r="V100" i="2"/>
  <c r="V99" i="2"/>
  <c r="R196" i="1" l="1"/>
  <c r="R163" i="1"/>
  <c r="R126" i="6"/>
  <c r="R120" i="6"/>
  <c r="R119" i="6"/>
  <c r="R125" i="6"/>
  <c r="R42" i="1" l="1"/>
  <c r="R41" i="1"/>
  <c r="R49" i="6"/>
  <c r="R118" i="6" l="1"/>
  <c r="R123" i="6"/>
  <c r="R209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4" i="1" l="1"/>
  <c r="R122" i="6"/>
  <c r="R121" i="6"/>
  <c r="R112" i="6"/>
  <c r="R116" i="6"/>
  <c r="R117" i="6"/>
  <c r="R202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8" i="1"/>
  <c r="R169" i="1"/>
  <c r="R171" i="1"/>
  <c r="R185" i="1"/>
  <c r="R192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0" i="1"/>
  <c r="R161" i="1"/>
  <c r="R165" i="1"/>
  <c r="R166" i="1"/>
  <c r="R167" i="1"/>
  <c r="R172" i="1"/>
  <c r="R173" i="1"/>
  <c r="R174" i="1"/>
  <c r="R176" i="1"/>
  <c r="R177" i="1"/>
  <c r="R180" i="1"/>
  <c r="R181" i="1"/>
  <c r="R183" i="1"/>
  <c r="R184" i="1"/>
  <c r="R186" i="1"/>
  <c r="R189" i="1"/>
  <c r="R190" i="1"/>
  <c r="R193" i="1"/>
  <c r="R199" i="1"/>
  <c r="R200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<sst xmlns="http://schemas.openxmlformats.org/spreadsheetml/2006/main" count="16001" uniqueCount="2795">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</sst>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0"/>
  <sheetViews>
    <sheetView workbookViewId="0">
      <pane xSplit="3" ySplit="1" topLeftCell="L110" activePane="bottomRight" state="frozen"/>
      <selection pane="topRight" activeCell="D1" sqref="D1"/>
      <selection pane="bottomLeft" activeCell="A2" sqref="A2"/>
      <selection pane="bottomRight" activeCell="A141" sqref="A141"/>
    </sheetView>
  </sheetViews>
  <sheetFormatPr defaultColWidth="9" defaultRowHeight="14.25" x14ac:dyDescent="0.2"/>
  <cols>
    <col min="3" max="3" width="21.875" customWidth="1"/>
    <col min="29" max="29" width="9" style="37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1852</v>
      </c>
      <c r="X1" s="12" t="s">
        <v>1853</v>
      </c>
      <c r="Y1" s="12" t="s">
        <v>1854</v>
      </c>
      <c r="Z1" s="12" t="s">
        <v>1855</v>
      </c>
      <c r="AA1" t="s">
        <v>23</v>
      </c>
      <c r="AB1" t="s">
        <v>24</v>
      </c>
      <c r="AC1" s="37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206</v>
      </c>
      <c r="C7" s="8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8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206</v>
      </c>
      <c r="C9" s="8" t="s">
        <v>1858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2390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2389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2431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8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2560</v>
      </c>
      <c r="D19" t="s">
        <v>2561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5" t="s">
        <v>2562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8" t="s">
        <v>2563</v>
      </c>
    </row>
    <row r="21" spans="1:29" x14ac:dyDescent="0.2">
      <c r="A21" s="3">
        <v>10205</v>
      </c>
      <c r="B21" t="s">
        <v>206</v>
      </c>
      <c r="C21" s="8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8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8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7" t="s">
        <v>2283</v>
      </c>
    </row>
    <row r="24" spans="1:29" x14ac:dyDescent="0.2">
      <c r="A24" s="3">
        <v>10208</v>
      </c>
      <c r="B24" t="s">
        <v>206</v>
      </c>
      <c r="C24" s="8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7" t="s">
        <v>2282</v>
      </c>
    </row>
    <row r="25" spans="1:29" x14ac:dyDescent="0.2">
      <c r="A25" s="3">
        <v>10209</v>
      </c>
      <c r="B25" t="s">
        <v>206</v>
      </c>
      <c r="C25" s="8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7" t="s">
        <v>2563</v>
      </c>
    </row>
    <row r="26" spans="1:29" x14ac:dyDescent="0.2">
      <c r="A26" s="3">
        <v>10210</v>
      </c>
      <c r="B26" t="s">
        <v>206</v>
      </c>
      <c r="C26" s="8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7" t="s">
        <v>2563</v>
      </c>
    </row>
    <row r="27" spans="1:29" x14ac:dyDescent="0.2">
      <c r="A27" s="3">
        <v>10212</v>
      </c>
      <c r="B27" t="s">
        <v>206</v>
      </c>
      <c r="C27" t="s">
        <v>2475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7" t="s">
        <v>2473</v>
      </c>
    </row>
    <row r="28" spans="1:29" x14ac:dyDescent="0.2">
      <c r="A28" s="3">
        <v>10213</v>
      </c>
      <c r="B28" t="s">
        <v>206</v>
      </c>
      <c r="C28" s="8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7" t="s">
        <v>2473</v>
      </c>
    </row>
    <row r="29" spans="1:29" x14ac:dyDescent="0.2">
      <c r="A29" s="3">
        <v>10214</v>
      </c>
      <c r="B29" t="s">
        <v>206</v>
      </c>
      <c r="C29" s="8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75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75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7" t="s">
        <v>74</v>
      </c>
    </row>
    <row r="38" spans="1:29" x14ac:dyDescent="0.2">
      <c r="A38" s="3">
        <v>10231</v>
      </c>
      <c r="B38" t="s">
        <v>21</v>
      </c>
      <c r="C38" t="s">
        <v>2393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7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8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8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2391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2392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2564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2541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8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2479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8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2432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2732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7" t="s">
        <v>74</v>
      </c>
    </row>
    <row r="53" spans="1:29" x14ac:dyDescent="0.2">
      <c r="A53" s="3">
        <v>10331</v>
      </c>
      <c r="B53" t="s">
        <v>209</v>
      </c>
      <c r="C53" s="8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7" t="s">
        <v>2473</v>
      </c>
    </row>
    <row r="56" spans="1:29" x14ac:dyDescent="0.2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8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7" t="s">
        <v>2563</v>
      </c>
    </row>
    <row r="58" spans="1:29" x14ac:dyDescent="0.2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8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8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7" t="s">
        <v>74</v>
      </c>
    </row>
    <row r="66" spans="1:29" x14ac:dyDescent="0.2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8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206</v>
      </c>
      <c r="C68" s="8" t="s">
        <v>1873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7" t="s">
        <v>2283</v>
      </c>
    </row>
    <row r="69" spans="1:29" x14ac:dyDescent="0.2">
      <c r="A69" s="3">
        <v>10388</v>
      </c>
      <c r="B69" t="s">
        <v>205</v>
      </c>
      <c r="C69" s="8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209</v>
      </c>
      <c r="C71" s="8" t="s">
        <v>2019</v>
      </c>
      <c r="D71" s="3" t="s">
        <v>80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206</v>
      </c>
      <c r="C76" s="8" t="s">
        <v>1874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7" t="s">
        <v>2563</v>
      </c>
    </row>
    <row r="77" spans="1:29" x14ac:dyDescent="0.2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206</v>
      </c>
      <c r="C78" s="8" t="s">
        <v>1875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8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8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7" t="s">
        <v>74</v>
      </c>
    </row>
    <row r="83" spans="1:29" x14ac:dyDescent="0.2">
      <c r="A83" s="14">
        <v>10435</v>
      </c>
      <c r="B83" t="s">
        <v>209</v>
      </c>
      <c r="C83" s="8" t="s">
        <v>2020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209</v>
      </c>
      <c r="C84" s="8" t="s">
        <v>2021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8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206</v>
      </c>
      <c r="C86" s="8" t="s">
        <v>1876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209</v>
      </c>
      <c r="C87" s="8" t="s">
        <v>2729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206</v>
      </c>
      <c r="C88" s="8" t="s">
        <v>1877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206</v>
      </c>
      <c r="C89" s="8" t="s">
        <v>1671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8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206</v>
      </c>
      <c r="C91" s="8" t="s">
        <v>1878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8" t="s">
        <v>2730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206</v>
      </c>
      <c r="C94" s="8" t="s">
        <v>1879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40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209</v>
      </c>
      <c r="C95" s="8" t="s">
        <v>2022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206</v>
      </c>
      <c r="C96" s="8" t="s">
        <v>2733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2727</v>
      </c>
      <c r="D97" t="s">
        <v>2728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8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7" t="s">
        <v>2473</v>
      </c>
    </row>
    <row r="98" spans="1:29" x14ac:dyDescent="0.2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7" t="s">
        <v>2505</v>
      </c>
    </row>
    <row r="99" spans="1:29" x14ac:dyDescent="0.2">
      <c r="A99" s="14">
        <v>10468</v>
      </c>
      <c r="B99" t="s">
        <v>206</v>
      </c>
      <c r="C99" s="8" t="s">
        <v>1880</v>
      </c>
      <c r="D99" s="3" t="s">
        <v>69</v>
      </c>
      <c r="E99" s="10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10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10">
        <v>0</v>
      </c>
      <c r="T99" s="10">
        <v>0</v>
      </c>
      <c r="U99" s="10">
        <v>0</v>
      </c>
      <c r="V99" s="10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8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7" t="s">
        <v>74</v>
      </c>
    </row>
    <row r="101" spans="1:29" x14ac:dyDescent="0.2">
      <c r="A101" s="3">
        <v>10471</v>
      </c>
      <c r="B101" t="s">
        <v>21</v>
      </c>
      <c r="C101" s="8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8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8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2731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1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8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8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1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8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8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1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8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8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7" t="s">
        <v>74</v>
      </c>
    </row>
    <row r="111" spans="1:29" x14ac:dyDescent="0.2">
      <c r="A111" s="3">
        <v>10499</v>
      </c>
      <c r="B111" t="s">
        <v>206</v>
      </c>
      <c r="C111" s="8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1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9">
        <v>10502</v>
      </c>
      <c r="B112" t="s">
        <v>2226</v>
      </c>
      <c r="C112" s="29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8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7" t="s">
        <v>2737</v>
      </c>
    </row>
    <row r="113" spans="1:29" x14ac:dyDescent="0.2">
      <c r="A113" s="29">
        <v>10506</v>
      </c>
      <c r="B113" t="s">
        <v>206</v>
      </c>
      <c r="C113" s="29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8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8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8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1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3">
        <v>2.4</v>
      </c>
      <c r="Z115" s="13">
        <v>4.5</v>
      </c>
      <c r="AA115" s="6">
        <v>105131</v>
      </c>
      <c r="AB115" s="6"/>
      <c r="AC115" s="37" t="s">
        <v>74</v>
      </c>
    </row>
    <row r="116" spans="1:29" x14ac:dyDescent="0.2">
      <c r="A116" s="29">
        <v>10514</v>
      </c>
      <c r="B116" t="s">
        <v>2223</v>
      </c>
      <c r="C116" s="29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9">
        <v>10520</v>
      </c>
      <c r="B117" t="s">
        <v>2220</v>
      </c>
      <c r="C117" s="29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9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8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8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8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7" t="s">
        <v>2282</v>
      </c>
    </row>
    <row r="121" spans="1:29" x14ac:dyDescent="0.2">
      <c r="A121" s="29">
        <v>10524</v>
      </c>
      <c r="B121" t="s">
        <v>2229</v>
      </c>
      <c r="C121" s="29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9">
        <v>10532</v>
      </c>
      <c r="B122" t="s">
        <v>2223</v>
      </c>
      <c r="C122" s="29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8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2253</v>
      </c>
      <c r="C123" s="29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8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8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8">
        <f t="shared" si="3"/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2355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8">
        <f t="shared" si="3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2474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8">
        <f t="shared" si="3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2734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8">
        <f t="shared" si="3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2565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2566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8">
        <f t="shared" si="3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2567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8">
        <f t="shared" si="3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2253</v>
      </c>
      <c r="C133" t="s">
        <v>2735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8">
        <f t="shared" si="3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2568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8">
        <f t="shared" si="3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2668</v>
      </c>
      <c r="C135" t="s">
        <v>2669</v>
      </c>
      <c r="D135" t="s">
        <v>2670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8">
        <f t="shared" si="3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2719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8">
        <f t="shared" si="3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2726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8">
        <f t="shared" si="3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7" t="s">
        <v>74</v>
      </c>
    </row>
    <row r="138" spans="1:29" x14ac:dyDescent="0.2">
      <c r="A138" s="3">
        <v>10596</v>
      </c>
      <c r="B138" t="s">
        <v>2666</v>
      </c>
      <c r="C138" t="s">
        <v>2667</v>
      </c>
      <c r="D138" t="s">
        <v>2656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8">
        <f t="shared" si="3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2655</v>
      </c>
      <c r="C139" s="2">
        <v>351</v>
      </c>
      <c r="D139" t="s">
        <v>2656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8">
        <f t="shared" si="3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10617</v>
      </c>
      <c r="B140" t="s">
        <v>2738</v>
      </c>
      <c r="C140" t="s">
        <v>2739</v>
      </c>
      <c r="D140" t="s">
        <v>2740</v>
      </c>
      <c r="E140">
        <v>28</v>
      </c>
      <c r="F140">
        <v>40</v>
      </c>
      <c r="G140">
        <v>0</v>
      </c>
      <c r="H140">
        <v>25</v>
      </c>
      <c r="I140">
        <v>76</v>
      </c>
      <c r="J140">
        <v>0</v>
      </c>
      <c r="K140" s="1">
        <v>101</v>
      </c>
      <c r="L140">
        <v>86</v>
      </c>
      <c r="M140">
        <v>47</v>
      </c>
      <c r="N140">
        <v>37.950000000000003</v>
      </c>
      <c r="O140">
        <v>1</v>
      </c>
      <c r="P140">
        <v>19</v>
      </c>
      <c r="Q140">
        <v>3</v>
      </c>
      <c r="R140" s="18">
        <f t="shared" si="3"/>
        <v>24</v>
      </c>
      <c r="S140">
        <v>8</v>
      </c>
      <c r="T140">
        <v>8</v>
      </c>
      <c r="U140">
        <v>8</v>
      </c>
      <c r="V140">
        <v>0</v>
      </c>
      <c r="W140">
        <v>25</v>
      </c>
      <c r="X140">
        <v>60</v>
      </c>
      <c r="Y140">
        <v>0.5</v>
      </c>
      <c r="Z140">
        <v>1.3</v>
      </c>
      <c r="AA140">
        <v>106171</v>
      </c>
      <c r="AC140" s="37" t="s">
        <v>2741</v>
      </c>
    </row>
  </sheetData>
  <autoFilter ref="A1:AC133" xr:uid="{00000000-0009-0000-0000-000000000000}">
    <sortState xmlns:xlrd2="http://schemas.microsoft.com/office/spreadsheetml/2017/richdata2" ref="A2:AC139">
      <sortCondition ref="A1:A139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5"/>
  <sheetViews>
    <sheetView workbookViewId="0">
      <pane xSplit="3" ySplit="1" topLeftCell="L180" activePane="bottomRight" state="frozen"/>
      <selection pane="topRight" activeCell="D1" sqref="D1"/>
      <selection pane="bottomLeft" activeCell="A2" sqref="A2"/>
      <selection pane="bottomRight" activeCell="C219" sqref="C219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8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8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8" t="s">
        <v>1893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8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8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8" t="s">
        <v>1894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8" t="s">
        <v>1895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8" t="s">
        <v>1896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 x14ac:dyDescent="0.2">
      <c r="A10" s="3">
        <v>11009</v>
      </c>
      <c r="B10" t="s">
        <v>206</v>
      </c>
      <c r="C10" s="8" t="s">
        <v>1897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 x14ac:dyDescent="0.2">
      <c r="A11" s="3">
        <v>11010</v>
      </c>
      <c r="B11" t="s">
        <v>206</v>
      </c>
      <c r="C11" s="8" t="s">
        <v>1898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8" t="s">
        <v>1899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8" t="s">
        <v>1900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8" t="s">
        <v>1901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8" t="s">
        <v>1902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8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209</v>
      </c>
      <c r="C17" s="8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9" x14ac:dyDescent="0.2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9" x14ac:dyDescent="0.2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2742</v>
      </c>
      <c r="C45" t="s">
        <v>2743</v>
      </c>
      <c r="D45" s="3" t="s">
        <v>2744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2736</v>
      </c>
    </row>
    <row r="46" spans="1:29" x14ac:dyDescent="0.2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2736</v>
      </c>
    </row>
    <row r="47" spans="1:29" x14ac:dyDescent="0.2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2428</v>
      </c>
      <c r="C48" t="s">
        <v>2429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2428</v>
      </c>
      <c r="C49" t="s">
        <v>2430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8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2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2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2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2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2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2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2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2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2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2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2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2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2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2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2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2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2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2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2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2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2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2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2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2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2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2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2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2505</v>
      </c>
    </row>
    <row r="78" spans="1:29" x14ac:dyDescent="0.2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2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2">
      <c r="A80" s="3">
        <v>11100</v>
      </c>
      <c r="B80" t="s">
        <v>206</v>
      </c>
      <c r="C80" s="8" t="s">
        <v>1856</v>
      </c>
      <c r="D80" s="3" t="s">
        <v>69</v>
      </c>
      <c r="E80" s="10">
        <v>88</v>
      </c>
      <c r="F80" s="10">
        <v>115</v>
      </c>
      <c r="G80" s="10">
        <v>0</v>
      </c>
      <c r="H80" s="10">
        <v>106</v>
      </c>
      <c r="I80" s="10">
        <v>108</v>
      </c>
      <c r="J80" s="6">
        <v>0</v>
      </c>
      <c r="K80" s="11">
        <v>103</v>
      </c>
      <c r="L80" s="6">
        <v>60</v>
      </c>
      <c r="M80" s="6">
        <v>55</v>
      </c>
      <c r="N80" s="10">
        <v>28</v>
      </c>
      <c r="O80" s="6">
        <v>3</v>
      </c>
      <c r="P80" s="10">
        <v>10</v>
      </c>
      <c r="Q80" s="6">
        <v>4</v>
      </c>
      <c r="R80">
        <f t="shared" si="1"/>
        <v>0</v>
      </c>
      <c r="S80" s="10">
        <v>0</v>
      </c>
      <c r="T80" s="10">
        <v>0</v>
      </c>
      <c r="U80" s="10">
        <v>0</v>
      </c>
      <c r="V80" s="10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2">
      <c r="A81" s="3">
        <v>11101</v>
      </c>
      <c r="B81" t="s">
        <v>206</v>
      </c>
      <c r="C81" s="8" t="s">
        <v>1903</v>
      </c>
      <c r="D81" s="3" t="s">
        <v>3</v>
      </c>
      <c r="E81" s="10">
        <v>80</v>
      </c>
      <c r="F81" s="10">
        <v>112</v>
      </c>
      <c r="G81" s="10">
        <v>0</v>
      </c>
      <c r="H81" s="10">
        <v>99</v>
      </c>
      <c r="I81" s="10">
        <v>63</v>
      </c>
      <c r="J81" s="6">
        <v>0</v>
      </c>
      <c r="K81" s="6">
        <v>101</v>
      </c>
      <c r="L81" s="6">
        <v>54</v>
      </c>
      <c r="M81" s="6">
        <v>49</v>
      </c>
      <c r="N81" s="10">
        <v>25</v>
      </c>
      <c r="O81" s="6">
        <v>3</v>
      </c>
      <c r="P81" s="10">
        <v>22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2219</v>
      </c>
    </row>
    <row r="82" spans="1:29" x14ac:dyDescent="0.2">
      <c r="A82" s="3">
        <v>11102</v>
      </c>
      <c r="B82" t="s">
        <v>206</v>
      </c>
      <c r="C82" s="8" t="s">
        <v>1904</v>
      </c>
      <c r="D82" s="3" t="s">
        <v>3</v>
      </c>
      <c r="E82" s="10">
        <v>80</v>
      </c>
      <c r="F82" s="10">
        <v>117</v>
      </c>
      <c r="G82" s="10">
        <v>0</v>
      </c>
      <c r="H82" s="10">
        <v>102</v>
      </c>
      <c r="I82" s="10">
        <v>60</v>
      </c>
      <c r="J82" s="6">
        <v>0</v>
      </c>
      <c r="K82" s="11">
        <v>101</v>
      </c>
      <c r="L82" s="6">
        <v>53</v>
      </c>
      <c r="M82" s="6">
        <v>48</v>
      </c>
      <c r="N82" s="10">
        <v>25</v>
      </c>
      <c r="O82" s="6">
        <v>3</v>
      </c>
      <c r="P82" s="10">
        <v>7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2219</v>
      </c>
    </row>
    <row r="83" spans="1:29" x14ac:dyDescent="0.2">
      <c r="A83" s="3">
        <v>11105</v>
      </c>
      <c r="B83" t="s">
        <v>206</v>
      </c>
      <c r="C83" s="8" t="s">
        <v>1857</v>
      </c>
      <c r="D83" s="3" t="s">
        <v>69</v>
      </c>
      <c r="E83" s="10">
        <v>90</v>
      </c>
      <c r="F83" s="10">
        <v>96</v>
      </c>
      <c r="G83" s="10">
        <v>0</v>
      </c>
      <c r="H83" s="10">
        <v>101</v>
      </c>
      <c r="I83" s="10">
        <v>115</v>
      </c>
      <c r="J83" s="6">
        <v>0</v>
      </c>
      <c r="K83" s="6">
        <v>102</v>
      </c>
      <c r="L83" s="6">
        <v>56</v>
      </c>
      <c r="M83" s="6">
        <v>50</v>
      </c>
      <c r="N83" s="10">
        <v>30</v>
      </c>
      <c r="O83" s="6">
        <v>3</v>
      </c>
      <c r="P83" s="10">
        <v>15</v>
      </c>
      <c r="Q83" s="6">
        <v>4</v>
      </c>
      <c r="R83">
        <f t="shared" si="1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2">
      <c r="A84" s="3">
        <v>11106</v>
      </c>
      <c r="B84" t="s">
        <v>206</v>
      </c>
      <c r="C84" s="8" t="s">
        <v>1905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96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20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2">
      <c r="A85" s="3">
        <v>11107</v>
      </c>
      <c r="B85" t="s">
        <v>206</v>
      </c>
      <c r="C85" s="8" t="s">
        <v>1906</v>
      </c>
      <c r="D85" s="3" t="s">
        <v>67</v>
      </c>
      <c r="E85" s="10">
        <v>75</v>
      </c>
      <c r="F85" s="10">
        <v>100</v>
      </c>
      <c r="G85" s="10">
        <v>0</v>
      </c>
      <c r="H85" s="10">
        <v>96</v>
      </c>
      <c r="I85" s="10">
        <v>98</v>
      </c>
      <c r="J85" s="6">
        <v>0</v>
      </c>
      <c r="K85" s="6">
        <v>100</v>
      </c>
      <c r="L85" s="6">
        <v>44</v>
      </c>
      <c r="M85" s="6">
        <v>47</v>
      </c>
      <c r="N85" s="10">
        <v>21</v>
      </c>
      <c r="O85" s="6">
        <v>3</v>
      </c>
      <c r="P85" s="10">
        <v>21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2">
      <c r="A86" s="3">
        <v>11108</v>
      </c>
      <c r="B86" t="s">
        <v>206</v>
      </c>
      <c r="C86" s="8" t="s">
        <v>1907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92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22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2219</v>
      </c>
    </row>
    <row r="87" spans="1:29" x14ac:dyDescent="0.2">
      <c r="A87" s="3">
        <v>11109</v>
      </c>
      <c r="B87" t="s">
        <v>206</v>
      </c>
      <c r="C87" s="8" t="s">
        <v>1908</v>
      </c>
      <c r="D87" s="3" t="s">
        <v>67</v>
      </c>
      <c r="E87" s="10">
        <v>82</v>
      </c>
      <c r="F87" s="10">
        <v>105</v>
      </c>
      <c r="G87" s="10">
        <v>0</v>
      </c>
      <c r="H87" s="10">
        <v>96</v>
      </c>
      <c r="I87" s="10">
        <v>98</v>
      </c>
      <c r="J87" s="6">
        <v>0</v>
      </c>
      <c r="K87" s="6">
        <v>101</v>
      </c>
      <c r="L87" s="6">
        <v>45</v>
      </c>
      <c r="M87" s="6">
        <v>45</v>
      </c>
      <c r="N87" s="10">
        <v>21</v>
      </c>
      <c r="O87" s="6">
        <v>3</v>
      </c>
      <c r="P87" s="10">
        <v>20</v>
      </c>
      <c r="Q87" s="6">
        <v>4</v>
      </c>
      <c r="R87">
        <f t="shared" si="1"/>
        <v>16</v>
      </c>
      <c r="S87" s="10">
        <v>4</v>
      </c>
      <c r="T87" s="10">
        <v>4</v>
      </c>
      <c r="U87" s="10">
        <v>4</v>
      </c>
      <c r="V87" s="10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2219</v>
      </c>
    </row>
    <row r="88" spans="1:29" x14ac:dyDescent="0.2">
      <c r="A88" s="3">
        <v>11110</v>
      </c>
      <c r="B88" t="s">
        <v>206</v>
      </c>
      <c r="C88" s="8" t="s">
        <v>1909</v>
      </c>
      <c r="D88" s="3" t="s">
        <v>67</v>
      </c>
      <c r="E88" s="10">
        <v>82</v>
      </c>
      <c r="F88" s="10">
        <v>107</v>
      </c>
      <c r="G88" s="10">
        <v>0</v>
      </c>
      <c r="H88" s="10">
        <v>100</v>
      </c>
      <c r="I88" s="10">
        <v>102</v>
      </c>
      <c r="J88" s="6">
        <v>0</v>
      </c>
      <c r="K88" s="6">
        <v>101</v>
      </c>
      <c r="L88" s="6">
        <v>45</v>
      </c>
      <c r="M88" s="6">
        <v>47</v>
      </c>
      <c r="N88" s="10">
        <v>21</v>
      </c>
      <c r="O88" s="6">
        <v>3</v>
      </c>
      <c r="P88" s="10">
        <v>22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2219</v>
      </c>
    </row>
    <row r="89" spans="1:29" x14ac:dyDescent="0.2">
      <c r="A89" s="3">
        <v>11111</v>
      </c>
      <c r="B89" t="s">
        <v>206</v>
      </c>
      <c r="C89" s="8" t="s">
        <v>1910</v>
      </c>
      <c r="D89" s="3" t="s">
        <v>67</v>
      </c>
      <c r="E89" s="10">
        <v>79</v>
      </c>
      <c r="F89" s="10">
        <v>115</v>
      </c>
      <c r="G89" s="10">
        <v>0</v>
      </c>
      <c r="H89" s="10">
        <v>97</v>
      </c>
      <c r="I89" s="10">
        <v>105</v>
      </c>
      <c r="J89" s="6">
        <v>0</v>
      </c>
      <c r="K89" s="6">
        <v>102</v>
      </c>
      <c r="L89" s="6">
        <v>60</v>
      </c>
      <c r="M89" s="6">
        <v>51</v>
      </c>
      <c r="N89" s="10">
        <v>28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2">
      <c r="A90" s="3">
        <v>11112</v>
      </c>
      <c r="B90" t="s">
        <v>206</v>
      </c>
      <c r="C90" s="8" t="s">
        <v>1911</v>
      </c>
      <c r="D90" s="3" t="s">
        <v>71</v>
      </c>
      <c r="E90" s="10">
        <v>80</v>
      </c>
      <c r="F90" s="10">
        <v>113</v>
      </c>
      <c r="G90" s="10">
        <v>0</v>
      </c>
      <c r="H90" s="10">
        <v>104</v>
      </c>
      <c r="I90" s="10">
        <v>70</v>
      </c>
      <c r="J90" s="6">
        <v>0</v>
      </c>
      <c r="K90" s="6">
        <v>102</v>
      </c>
      <c r="L90" s="6">
        <v>63</v>
      </c>
      <c r="M90" s="6">
        <v>41</v>
      </c>
      <c r="N90" s="10">
        <v>31</v>
      </c>
      <c r="O90" s="6">
        <v>3</v>
      </c>
      <c r="P90" s="10">
        <v>20</v>
      </c>
      <c r="Q90" s="6">
        <v>4</v>
      </c>
      <c r="R90">
        <f t="shared" si="1"/>
        <v>12</v>
      </c>
      <c r="S90" s="10">
        <v>3</v>
      </c>
      <c r="T90" s="10">
        <v>3</v>
      </c>
      <c r="U90" s="10">
        <v>3</v>
      </c>
      <c r="V90" s="10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2473</v>
      </c>
    </row>
    <row r="91" spans="1:29" x14ac:dyDescent="0.2">
      <c r="A91" s="3">
        <v>11113</v>
      </c>
      <c r="B91" t="s">
        <v>206</v>
      </c>
      <c r="C91" s="8" t="s">
        <v>1912</v>
      </c>
      <c r="D91" s="3" t="s">
        <v>70</v>
      </c>
      <c r="E91" s="10">
        <v>83</v>
      </c>
      <c r="F91" s="10">
        <v>110</v>
      </c>
      <c r="G91" s="10">
        <v>0</v>
      </c>
      <c r="H91" s="10">
        <v>108</v>
      </c>
      <c r="I91" s="10">
        <v>102</v>
      </c>
      <c r="J91" s="6">
        <v>0</v>
      </c>
      <c r="K91" s="6">
        <v>102</v>
      </c>
      <c r="L91" s="6">
        <v>58</v>
      </c>
      <c r="M91" s="6">
        <v>46</v>
      </c>
      <c r="N91" s="10">
        <v>32</v>
      </c>
      <c r="O91" s="6">
        <v>3</v>
      </c>
      <c r="P91" s="10">
        <v>30</v>
      </c>
      <c r="Q91" s="6">
        <v>4</v>
      </c>
      <c r="R91">
        <f t="shared" si="1"/>
        <v>0</v>
      </c>
      <c r="S91" s="10">
        <v>0</v>
      </c>
      <c r="T91" s="10">
        <v>0</v>
      </c>
      <c r="U91" s="10">
        <v>0</v>
      </c>
      <c r="V91" s="10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2">
      <c r="A92" s="3">
        <v>11117</v>
      </c>
      <c r="B92" t="s">
        <v>75</v>
      </c>
      <c r="C92" s="8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2">
      <c r="A93" s="3">
        <v>11118</v>
      </c>
      <c r="B93" t="s">
        <v>75</v>
      </c>
      <c r="C93" s="8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2">
      <c r="A94" s="3">
        <v>11120</v>
      </c>
      <c r="B94" t="s">
        <v>21</v>
      </c>
      <c r="C94" s="8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2">
      <c r="A95" s="3">
        <v>11121</v>
      </c>
      <c r="B95" t="s">
        <v>21</v>
      </c>
      <c r="C95" s="8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2">
      <c r="A96" s="3">
        <v>11123</v>
      </c>
      <c r="B96" t="s">
        <v>90</v>
      </c>
      <c r="C96" s="8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2">
      <c r="A97" s="3">
        <v>11124</v>
      </c>
      <c r="B97" t="s">
        <v>90</v>
      </c>
      <c r="C97" s="8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2">
      <c r="A98" s="3">
        <v>11125</v>
      </c>
      <c r="B98" t="s">
        <v>90</v>
      </c>
      <c r="C98" s="8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2">
      <c r="A99" s="3">
        <v>11126</v>
      </c>
      <c r="B99" t="s">
        <v>90</v>
      </c>
      <c r="C99" s="8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2">
      <c r="A100" s="3">
        <v>11130</v>
      </c>
      <c r="B100" t="s">
        <v>209</v>
      </c>
      <c r="C100" s="8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2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2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2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2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2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2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2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2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2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2">
      <c r="A111" s="29">
        <v>11158</v>
      </c>
      <c r="B111" t="s">
        <v>204</v>
      </c>
      <c r="C111" s="29" t="s">
        <v>2723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8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2736</v>
      </c>
    </row>
    <row r="112" spans="1:29" x14ac:dyDescent="0.2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2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2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2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2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2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2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2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2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2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2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2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2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2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2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2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2">
      <c r="A130" s="15">
        <v>11194</v>
      </c>
      <c r="B130" t="s">
        <v>208</v>
      </c>
      <c r="C130" s="16" t="s">
        <v>2054</v>
      </c>
      <c r="D130" s="5" t="s">
        <v>67</v>
      </c>
      <c r="E130" s="17">
        <v>17</v>
      </c>
      <c r="F130" s="17">
        <v>26</v>
      </c>
      <c r="G130" s="17">
        <v>89</v>
      </c>
      <c r="H130" s="17">
        <v>32</v>
      </c>
      <c r="I130" s="17">
        <v>0</v>
      </c>
      <c r="J130" s="18">
        <v>0</v>
      </c>
      <c r="K130" s="18">
        <v>108</v>
      </c>
      <c r="L130" s="18">
        <v>47</v>
      </c>
      <c r="M130" s="18">
        <v>49</v>
      </c>
      <c r="N130" s="17">
        <v>21</v>
      </c>
      <c r="O130" s="18">
        <v>1</v>
      </c>
      <c r="P130" s="17">
        <v>25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20</v>
      </c>
      <c r="X130" s="18">
        <v>25</v>
      </c>
      <c r="Y130" s="18">
        <v>0.64</v>
      </c>
      <c r="Z130" s="18">
        <v>0.75</v>
      </c>
      <c r="AA130" s="6">
        <v>111941</v>
      </c>
      <c r="AB130" s="6"/>
    </row>
    <row r="131" spans="1:29" x14ac:dyDescent="0.2">
      <c r="A131" s="15">
        <v>11195</v>
      </c>
      <c r="B131" t="s">
        <v>208</v>
      </c>
      <c r="C131" s="16" t="s">
        <v>2055</v>
      </c>
      <c r="D131" s="5" t="s">
        <v>67</v>
      </c>
      <c r="E131" s="17">
        <v>17</v>
      </c>
      <c r="F131" s="17">
        <v>26</v>
      </c>
      <c r="G131" s="17">
        <v>89</v>
      </c>
      <c r="H131" s="17">
        <v>32</v>
      </c>
      <c r="I131" s="17">
        <v>0</v>
      </c>
      <c r="J131" s="18">
        <v>0</v>
      </c>
      <c r="K131" s="18">
        <v>108</v>
      </c>
      <c r="L131" s="18">
        <v>47</v>
      </c>
      <c r="M131" s="18">
        <v>49</v>
      </c>
      <c r="N131" s="17">
        <v>21</v>
      </c>
      <c r="O131" s="18">
        <v>1</v>
      </c>
      <c r="P131" s="17">
        <v>30</v>
      </c>
      <c r="Q131" s="18">
        <v>3</v>
      </c>
      <c r="R131">
        <f t="shared" si="2"/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20</v>
      </c>
      <c r="X131" s="18">
        <v>25</v>
      </c>
      <c r="Y131" s="18">
        <v>0.64</v>
      </c>
      <c r="Z131" s="18">
        <v>0.75</v>
      </c>
      <c r="AA131" s="6">
        <v>111951</v>
      </c>
      <c r="AB131" s="6"/>
    </row>
    <row r="132" spans="1:29" x14ac:dyDescent="0.2">
      <c r="A132" s="15">
        <v>11197</v>
      </c>
      <c r="B132" t="s">
        <v>208</v>
      </c>
      <c r="C132" s="16" t="s">
        <v>2056</v>
      </c>
      <c r="D132" s="5" t="s">
        <v>68</v>
      </c>
      <c r="E132" s="17">
        <v>15</v>
      </c>
      <c r="F132" s="17">
        <v>25</v>
      </c>
      <c r="G132" s="17">
        <v>80</v>
      </c>
      <c r="H132" s="17">
        <v>30</v>
      </c>
      <c r="I132" s="17">
        <v>0</v>
      </c>
      <c r="J132" s="18">
        <v>0</v>
      </c>
      <c r="K132" s="18">
        <v>102</v>
      </c>
      <c r="L132" s="18">
        <v>45</v>
      </c>
      <c r="M132" s="18">
        <v>48</v>
      </c>
      <c r="N132" s="17">
        <v>18</v>
      </c>
      <c r="O132" s="18">
        <v>1</v>
      </c>
      <c r="P132" s="17">
        <v>20</v>
      </c>
      <c r="Q132" s="18">
        <v>3</v>
      </c>
      <c r="R132">
        <f t="shared" si="2"/>
        <v>0</v>
      </c>
      <c r="S132" s="18">
        <v>0</v>
      </c>
      <c r="T132" s="18">
        <v>0</v>
      </c>
      <c r="U132" s="18">
        <v>0</v>
      </c>
      <c r="V132" s="18">
        <v>0</v>
      </c>
      <c r="W132" s="18">
        <v>15</v>
      </c>
      <c r="X132" s="18">
        <v>20</v>
      </c>
      <c r="Y132" s="18">
        <v>0.6</v>
      </c>
      <c r="Z132" s="18">
        <v>0.5</v>
      </c>
      <c r="AA132" s="6">
        <v>111971</v>
      </c>
      <c r="AB132" s="6">
        <v>111972</v>
      </c>
      <c r="AC132" s="3" t="s">
        <v>2057</v>
      </c>
    </row>
    <row r="133" spans="1:29" x14ac:dyDescent="0.2">
      <c r="A133" s="3">
        <v>11198</v>
      </c>
      <c r="B133" t="s">
        <v>208</v>
      </c>
      <c r="C133" t="s">
        <v>2482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8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2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2">
      <c r="A135" s="3">
        <v>11205</v>
      </c>
      <c r="B135" t="s">
        <v>2745</v>
      </c>
      <c r="C135" t="s">
        <v>2746</v>
      </c>
      <c r="D135" t="s">
        <v>2747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8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2">
      <c r="A136" s="3">
        <v>11206</v>
      </c>
      <c r="B136" t="s">
        <v>206</v>
      </c>
      <c r="C136" s="8" t="s">
        <v>1861</v>
      </c>
      <c r="D136" s="3" t="s">
        <v>67</v>
      </c>
      <c r="E136" s="10">
        <v>80</v>
      </c>
      <c r="F136" s="10">
        <v>120</v>
      </c>
      <c r="G136" s="10">
        <v>0</v>
      </c>
      <c r="H136" s="10">
        <v>98</v>
      </c>
      <c r="I136" s="10">
        <v>103</v>
      </c>
      <c r="J136" s="6">
        <v>0</v>
      </c>
      <c r="K136" s="6">
        <v>102</v>
      </c>
      <c r="L136" s="6">
        <v>62</v>
      </c>
      <c r="M136" s="6">
        <v>51</v>
      </c>
      <c r="N136" s="10">
        <v>28</v>
      </c>
      <c r="O136" s="6">
        <v>3</v>
      </c>
      <c r="P136" s="10">
        <v>25</v>
      </c>
      <c r="Q136" s="6">
        <v>4</v>
      </c>
      <c r="R136">
        <f t="shared" si="2"/>
        <v>0</v>
      </c>
      <c r="S136" s="10">
        <v>0</v>
      </c>
      <c r="T136" s="10">
        <v>0</v>
      </c>
      <c r="U136" s="10">
        <v>0</v>
      </c>
      <c r="V136" s="10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2">
      <c r="A137" s="3">
        <v>11207</v>
      </c>
      <c r="B137" t="s">
        <v>206</v>
      </c>
      <c r="C137" s="8" t="s">
        <v>1862</v>
      </c>
      <c r="D137" s="3" t="s">
        <v>67</v>
      </c>
      <c r="E137" s="10">
        <v>80</v>
      </c>
      <c r="F137" s="10">
        <v>120</v>
      </c>
      <c r="G137" s="10">
        <v>0</v>
      </c>
      <c r="H137" s="10">
        <v>105</v>
      </c>
      <c r="I137" s="10">
        <v>108</v>
      </c>
      <c r="J137" s="6">
        <v>0</v>
      </c>
      <c r="K137" s="6">
        <v>102</v>
      </c>
      <c r="L137" s="6">
        <v>61</v>
      </c>
      <c r="M137" s="6">
        <v>51</v>
      </c>
      <c r="N137" s="10">
        <v>27.5</v>
      </c>
      <c r="O137" s="6">
        <v>3</v>
      </c>
      <c r="P137" s="10">
        <v>25</v>
      </c>
      <c r="Q137" s="6">
        <v>4</v>
      </c>
      <c r="R137">
        <f t="shared" si="2"/>
        <v>12</v>
      </c>
      <c r="S137" s="10">
        <v>3</v>
      </c>
      <c r="T137" s="10">
        <v>3</v>
      </c>
      <c r="U137" s="10">
        <v>3</v>
      </c>
      <c r="V137" s="10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2282</v>
      </c>
    </row>
    <row r="138" spans="1:29" x14ac:dyDescent="0.2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2563</v>
      </c>
    </row>
    <row r="139" spans="1:29" x14ac:dyDescent="0.2">
      <c r="A139" s="3">
        <v>11211</v>
      </c>
      <c r="B139" t="s">
        <v>206</v>
      </c>
      <c r="C139" s="8" t="s">
        <v>1913</v>
      </c>
      <c r="D139" s="3" t="s">
        <v>71</v>
      </c>
      <c r="E139" s="10">
        <v>64</v>
      </c>
      <c r="F139" s="10">
        <v>89</v>
      </c>
      <c r="G139" s="10">
        <v>0</v>
      </c>
      <c r="H139" s="10">
        <v>89</v>
      </c>
      <c r="I139" s="10">
        <v>72</v>
      </c>
      <c r="J139" s="6">
        <v>0</v>
      </c>
      <c r="K139" s="6">
        <v>102</v>
      </c>
      <c r="L139" s="6">
        <v>63</v>
      </c>
      <c r="M139" s="6">
        <v>40</v>
      </c>
      <c r="N139" s="10">
        <v>27</v>
      </c>
      <c r="O139" s="6">
        <v>3</v>
      </c>
      <c r="P139" s="10">
        <v>20</v>
      </c>
      <c r="Q139" s="6">
        <v>4</v>
      </c>
      <c r="R139">
        <f t="shared" si="2"/>
        <v>12</v>
      </c>
      <c r="S139" s="10">
        <v>3</v>
      </c>
      <c r="T139" s="10">
        <v>3</v>
      </c>
      <c r="U139" s="10">
        <v>3</v>
      </c>
      <c r="V139" s="10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2">
      <c r="A140" s="3">
        <v>11215</v>
      </c>
      <c r="B140" t="s">
        <v>2745</v>
      </c>
      <c r="C140" t="s">
        <v>2748</v>
      </c>
      <c r="D140" t="s">
        <v>2749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8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2">
      <c r="A141" s="3">
        <v>11219</v>
      </c>
      <c r="B141" t="s">
        <v>21</v>
      </c>
      <c r="C141" s="8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2">
      <c r="A142" s="3">
        <v>11220</v>
      </c>
      <c r="B142" t="s">
        <v>21</v>
      </c>
      <c r="C142" s="8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2">
      <c r="A143" s="3">
        <v>11221</v>
      </c>
      <c r="B143" t="s">
        <v>21</v>
      </c>
      <c r="C143" s="8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2">
      <c r="A144" s="3">
        <v>11222</v>
      </c>
      <c r="B144" t="s">
        <v>21</v>
      </c>
      <c r="C144" s="8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9" x14ac:dyDescent="0.2">
      <c r="A145" s="3">
        <v>11223</v>
      </c>
      <c r="B145" t="s">
        <v>75</v>
      </c>
      <c r="C145" s="8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9" x14ac:dyDescent="0.2">
      <c r="A146" s="3">
        <v>11224</v>
      </c>
      <c r="B146" t="s">
        <v>75</v>
      </c>
      <c r="C146" s="8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9" x14ac:dyDescent="0.2">
      <c r="A147" s="3">
        <v>11225</v>
      </c>
      <c r="B147" t="s">
        <v>21</v>
      </c>
      <c r="C147" s="8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9" x14ac:dyDescent="0.2">
      <c r="A148" s="3">
        <v>11227</v>
      </c>
      <c r="B148" t="s">
        <v>90</v>
      </c>
      <c r="C148" s="8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9" x14ac:dyDescent="0.2">
      <c r="A149" s="3">
        <v>11228</v>
      </c>
      <c r="B149" t="s">
        <v>90</v>
      </c>
      <c r="C149" s="8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9" x14ac:dyDescent="0.2">
      <c r="A150" s="3">
        <v>11232</v>
      </c>
      <c r="B150" t="s">
        <v>21</v>
      </c>
      <c r="C150" t="s">
        <v>2544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8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9" x14ac:dyDescent="0.2">
      <c r="A151" s="3">
        <v>11233</v>
      </c>
      <c r="B151" t="s">
        <v>1942</v>
      </c>
      <c r="C151" s="8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9" x14ac:dyDescent="0.2">
      <c r="A152" s="3">
        <v>11238</v>
      </c>
      <c r="B152" t="s">
        <v>205</v>
      </c>
      <c r="C152" t="s">
        <v>2356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8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9" x14ac:dyDescent="0.2">
      <c r="A153" s="3">
        <v>11239</v>
      </c>
      <c r="B153" t="s">
        <v>205</v>
      </c>
      <c r="C153" s="29" t="s">
        <v>2251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8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9" x14ac:dyDescent="0.2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9" x14ac:dyDescent="0.2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9" x14ac:dyDescent="0.2">
      <c r="A156" s="28">
        <v>11244</v>
      </c>
      <c r="B156" t="s">
        <v>203</v>
      </c>
      <c r="C156" t="s">
        <v>2569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8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9" x14ac:dyDescent="0.2">
      <c r="A157" s="3">
        <v>11248</v>
      </c>
      <c r="B157" t="s">
        <v>1942</v>
      </c>
      <c r="C157" s="8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9" x14ac:dyDescent="0.2">
      <c r="A158" s="3">
        <v>11258</v>
      </c>
      <c r="B158" t="s">
        <v>203</v>
      </c>
      <c r="C158" t="s">
        <v>2570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9" x14ac:dyDescent="0.2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9" x14ac:dyDescent="0.2">
      <c r="A160" s="3">
        <v>11269</v>
      </c>
      <c r="B160" t="s">
        <v>203</v>
      </c>
      <c r="C160" t="s">
        <v>1988</v>
      </c>
      <c r="D160" s="3" t="s">
        <v>68</v>
      </c>
      <c r="E160" s="6">
        <v>39</v>
      </c>
      <c r="F160" s="6">
        <v>38</v>
      </c>
      <c r="G160" s="6">
        <v>80</v>
      </c>
      <c r="H160" s="6">
        <v>40</v>
      </c>
      <c r="I160" s="6">
        <v>48</v>
      </c>
      <c r="J160" s="6">
        <v>66</v>
      </c>
      <c r="K160" s="6">
        <v>92</v>
      </c>
      <c r="L160" s="6">
        <v>92</v>
      </c>
      <c r="M160" s="6">
        <v>35</v>
      </c>
      <c r="N160" s="6">
        <v>38.5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10</v>
      </c>
      <c r="X160" s="6">
        <v>20</v>
      </c>
      <c r="Y160" s="6">
        <v>0.48</v>
      </c>
      <c r="Z160" s="6">
        <v>0.99</v>
      </c>
      <c r="AA160" s="6">
        <v>112691</v>
      </c>
      <c r="AB160" s="6"/>
      <c r="AC160" s="3" t="s">
        <v>2082</v>
      </c>
    </row>
    <row r="161" spans="1:29" x14ac:dyDescent="0.2">
      <c r="A161" s="3">
        <v>11270</v>
      </c>
      <c r="B161" t="s">
        <v>203</v>
      </c>
      <c r="C161" t="s">
        <v>1989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37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112701</v>
      </c>
      <c r="AB161" s="6"/>
      <c r="AC161" s="3" t="s">
        <v>2082</v>
      </c>
    </row>
    <row r="162" spans="1:29" x14ac:dyDescent="0.2">
      <c r="A162" s="28">
        <v>11273</v>
      </c>
      <c r="B162" t="s">
        <v>203</v>
      </c>
      <c r="C162" t="s">
        <v>2571</v>
      </c>
      <c r="D162" t="s">
        <v>67</v>
      </c>
      <c r="E162">
        <v>33</v>
      </c>
      <c r="F162">
        <v>46</v>
      </c>
      <c r="G162">
        <v>85</v>
      </c>
      <c r="H162">
        <v>40</v>
      </c>
      <c r="I162">
        <v>72</v>
      </c>
      <c r="J162">
        <v>88</v>
      </c>
      <c r="K162" s="1">
        <v>93</v>
      </c>
      <c r="L162">
        <v>91</v>
      </c>
      <c r="M162">
        <v>37</v>
      </c>
      <c r="N162">
        <v>38.5</v>
      </c>
      <c r="O162">
        <v>1</v>
      </c>
      <c r="P162">
        <v>16</v>
      </c>
      <c r="Q162">
        <v>3</v>
      </c>
      <c r="R162" s="18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15</v>
      </c>
      <c r="X162">
        <v>25</v>
      </c>
      <c r="Y162">
        <v>0.48</v>
      </c>
      <c r="Z162">
        <v>0.9</v>
      </c>
      <c r="AA162">
        <v>112731</v>
      </c>
    </row>
    <row r="163" spans="1:29" x14ac:dyDescent="0.2">
      <c r="A163" s="3">
        <v>11275</v>
      </c>
      <c r="B163" t="s">
        <v>203</v>
      </c>
      <c r="C163" t="s">
        <v>2288</v>
      </c>
      <c r="D163" t="s">
        <v>67</v>
      </c>
      <c r="E163">
        <v>32</v>
      </c>
      <c r="F163">
        <v>41</v>
      </c>
      <c r="G163">
        <v>83</v>
      </c>
      <c r="H163">
        <v>39</v>
      </c>
      <c r="I163">
        <v>79</v>
      </c>
      <c r="J163">
        <v>84</v>
      </c>
      <c r="K163" s="1">
        <v>94</v>
      </c>
      <c r="L163">
        <v>91</v>
      </c>
      <c r="M163">
        <v>37</v>
      </c>
      <c r="N163">
        <v>37</v>
      </c>
      <c r="O163">
        <v>1</v>
      </c>
      <c r="P163">
        <v>20</v>
      </c>
      <c r="Q163">
        <v>3</v>
      </c>
      <c r="R163" s="18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112751</v>
      </c>
      <c r="AC163" s="3" t="s">
        <v>2289</v>
      </c>
    </row>
    <row r="164" spans="1:29" x14ac:dyDescent="0.2">
      <c r="A164" s="28">
        <v>11277</v>
      </c>
      <c r="B164" t="s">
        <v>203</v>
      </c>
      <c r="C164" t="s">
        <v>2572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80</v>
      </c>
      <c r="J164">
        <v>84</v>
      </c>
      <c r="K164" s="1">
        <v>94</v>
      </c>
      <c r="L164">
        <v>91</v>
      </c>
      <c r="M164">
        <v>47</v>
      </c>
      <c r="N164">
        <v>37</v>
      </c>
      <c r="O164">
        <v>1</v>
      </c>
      <c r="P164">
        <v>20</v>
      </c>
      <c r="Q164">
        <v>3</v>
      </c>
      <c r="R164" s="18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2289</v>
      </c>
    </row>
    <row r="165" spans="1:29" x14ac:dyDescent="0.2">
      <c r="A165" s="3">
        <v>11278</v>
      </c>
      <c r="B165" t="s">
        <v>203</v>
      </c>
      <c r="C165" t="s">
        <v>1990</v>
      </c>
      <c r="D165" s="3" t="s">
        <v>67</v>
      </c>
      <c r="E165" s="6">
        <v>32</v>
      </c>
      <c r="F165" s="6">
        <v>43</v>
      </c>
      <c r="G165" s="6">
        <v>87</v>
      </c>
      <c r="H165" s="6">
        <v>39</v>
      </c>
      <c r="I165" s="6">
        <v>70</v>
      </c>
      <c r="J165" s="6">
        <v>84</v>
      </c>
      <c r="K165" s="6">
        <v>94</v>
      </c>
      <c r="L165" s="6">
        <v>91</v>
      </c>
      <c r="M165" s="6">
        <v>37</v>
      </c>
      <c r="N165" s="6">
        <v>37</v>
      </c>
      <c r="O165" s="6">
        <v>1</v>
      </c>
      <c r="P165" s="6">
        <v>18</v>
      </c>
      <c r="Q165" s="6">
        <v>3</v>
      </c>
      <c r="R165">
        <f t="shared" si="2"/>
        <v>0</v>
      </c>
      <c r="S165" s="6">
        <v>0</v>
      </c>
      <c r="T165" s="6">
        <v>0</v>
      </c>
      <c r="U165" s="6">
        <v>0</v>
      </c>
      <c r="V165" s="6">
        <v>0</v>
      </c>
      <c r="W165" s="6">
        <v>15</v>
      </c>
      <c r="X165" s="6">
        <v>25</v>
      </c>
      <c r="Y165" s="6">
        <v>0.48</v>
      </c>
      <c r="Z165" s="6">
        <v>0.9</v>
      </c>
      <c r="AA165" s="6">
        <v>112781</v>
      </c>
      <c r="AB165" s="6">
        <v>112782</v>
      </c>
    </row>
    <row r="166" spans="1:29" x14ac:dyDescent="0.2">
      <c r="A166" s="3">
        <v>11279</v>
      </c>
      <c r="B166" t="s">
        <v>203</v>
      </c>
      <c r="C166" t="s">
        <v>1991</v>
      </c>
      <c r="D166" s="3" t="s">
        <v>67</v>
      </c>
      <c r="E166" s="6">
        <v>28</v>
      </c>
      <c r="F166" s="6">
        <v>42</v>
      </c>
      <c r="G166" s="6">
        <v>83</v>
      </c>
      <c r="H166" s="6">
        <v>37</v>
      </c>
      <c r="I166" s="6">
        <v>65</v>
      </c>
      <c r="J166" s="6">
        <v>84</v>
      </c>
      <c r="K166" s="6">
        <v>94</v>
      </c>
      <c r="L166" s="6">
        <v>88</v>
      </c>
      <c r="M166" s="6">
        <v>36</v>
      </c>
      <c r="N166" s="6">
        <v>28.7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0.45</v>
      </c>
      <c r="Z166" s="6">
        <v>0.8</v>
      </c>
      <c r="AA166" s="6">
        <v>112791</v>
      </c>
      <c r="AB166" s="6">
        <v>112782</v>
      </c>
    </row>
    <row r="167" spans="1:29" x14ac:dyDescent="0.2">
      <c r="A167" s="3">
        <v>11280</v>
      </c>
      <c r="B167" t="s">
        <v>203</v>
      </c>
      <c r="C167" t="s">
        <v>1992</v>
      </c>
      <c r="D167" s="3" t="s">
        <v>67</v>
      </c>
      <c r="E167" s="6">
        <v>32</v>
      </c>
      <c r="F167" s="6">
        <v>45</v>
      </c>
      <c r="G167" s="6">
        <v>90</v>
      </c>
      <c r="H167" s="6">
        <v>41</v>
      </c>
      <c r="I167" s="6">
        <v>72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112801</v>
      </c>
      <c r="AB167" s="6">
        <v>112782</v>
      </c>
    </row>
    <row r="168" spans="1:29" x14ac:dyDescent="0.2">
      <c r="A168" s="15">
        <v>11289</v>
      </c>
      <c r="B168" t="s">
        <v>208</v>
      </c>
      <c r="C168" s="16" t="s">
        <v>2058</v>
      </c>
      <c r="D168" s="5" t="s">
        <v>68</v>
      </c>
      <c r="E168" s="17">
        <v>15</v>
      </c>
      <c r="F168" s="17">
        <v>25</v>
      </c>
      <c r="G168" s="17">
        <v>78</v>
      </c>
      <c r="H168" s="17">
        <v>30</v>
      </c>
      <c r="I168" s="17">
        <v>0</v>
      </c>
      <c r="J168" s="18">
        <v>0</v>
      </c>
      <c r="K168" s="18">
        <v>102</v>
      </c>
      <c r="L168" s="18">
        <v>45</v>
      </c>
      <c r="M168" s="18">
        <v>49</v>
      </c>
      <c r="N168" s="17">
        <v>18</v>
      </c>
      <c r="O168" s="18">
        <v>1</v>
      </c>
      <c r="P168" s="17">
        <v>18</v>
      </c>
      <c r="Q168" s="18">
        <v>3</v>
      </c>
      <c r="R168">
        <f t="shared" si="2"/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15</v>
      </c>
      <c r="X168" s="18">
        <v>20</v>
      </c>
      <c r="Y168" s="18">
        <v>0.6</v>
      </c>
      <c r="Z168" s="18">
        <v>0.5</v>
      </c>
      <c r="AA168">
        <v>112891</v>
      </c>
      <c r="AC168" s="3" t="s">
        <v>2057</v>
      </c>
    </row>
    <row r="169" spans="1:29" x14ac:dyDescent="0.2">
      <c r="A169" s="3">
        <v>11290</v>
      </c>
      <c r="B169" t="s">
        <v>208</v>
      </c>
      <c r="C169" s="16" t="s">
        <v>2059</v>
      </c>
      <c r="D169" s="5" t="s">
        <v>68</v>
      </c>
      <c r="E169" s="18">
        <v>15</v>
      </c>
      <c r="F169" s="18">
        <v>23</v>
      </c>
      <c r="G169" s="18">
        <v>80</v>
      </c>
      <c r="H169" s="18">
        <v>30</v>
      </c>
      <c r="I169" s="18">
        <v>0</v>
      </c>
      <c r="J169" s="18">
        <v>0</v>
      </c>
      <c r="K169" s="19">
        <v>102</v>
      </c>
      <c r="L169" s="18">
        <v>47</v>
      </c>
      <c r="M169" s="18">
        <v>48</v>
      </c>
      <c r="N169" s="18">
        <v>18</v>
      </c>
      <c r="O169" s="18">
        <v>1</v>
      </c>
      <c r="P169" s="18">
        <v>19</v>
      </c>
      <c r="Q169" s="18">
        <v>3</v>
      </c>
      <c r="R169">
        <f t="shared" si="2"/>
        <v>0</v>
      </c>
      <c r="S169" s="18">
        <v>0</v>
      </c>
      <c r="T169" s="18">
        <v>0</v>
      </c>
      <c r="U169" s="18">
        <v>0</v>
      </c>
      <c r="V169" s="18">
        <v>0</v>
      </c>
      <c r="W169" s="18">
        <v>15</v>
      </c>
      <c r="X169" s="18">
        <v>20</v>
      </c>
      <c r="Y169" s="18">
        <v>0.6</v>
      </c>
      <c r="Z169" s="18">
        <v>0.5</v>
      </c>
      <c r="AA169">
        <v>112901</v>
      </c>
      <c r="AC169" s="3" t="s">
        <v>2057</v>
      </c>
    </row>
    <row r="170" spans="1:29" x14ac:dyDescent="0.2">
      <c r="A170" s="3">
        <v>11291</v>
      </c>
      <c r="B170" t="s">
        <v>208</v>
      </c>
      <c r="C170" t="s">
        <v>2573</v>
      </c>
      <c r="D170" t="s">
        <v>68</v>
      </c>
      <c r="E170">
        <v>24</v>
      </c>
      <c r="F170">
        <v>26</v>
      </c>
      <c r="G170">
        <v>78</v>
      </c>
      <c r="H170">
        <v>27</v>
      </c>
      <c r="I170">
        <v>0</v>
      </c>
      <c r="J170">
        <v>0</v>
      </c>
      <c r="K170" s="1">
        <v>103</v>
      </c>
      <c r="L170">
        <v>59</v>
      </c>
      <c r="M170">
        <v>48</v>
      </c>
      <c r="N170">
        <v>18</v>
      </c>
      <c r="O170">
        <v>1</v>
      </c>
      <c r="P170">
        <v>25</v>
      </c>
      <c r="Q170">
        <v>3</v>
      </c>
      <c r="R170" s="18">
        <f t="shared" si="2"/>
        <v>0</v>
      </c>
      <c r="S170">
        <v>0</v>
      </c>
      <c r="T170">
        <v>0</v>
      </c>
      <c r="U170">
        <v>0</v>
      </c>
      <c r="V170">
        <v>0</v>
      </c>
      <c r="W170">
        <v>15</v>
      </c>
      <c r="X170">
        <v>20</v>
      </c>
      <c r="Y170">
        <v>0.6</v>
      </c>
      <c r="Z170">
        <v>0.5</v>
      </c>
      <c r="AA170">
        <v>112911</v>
      </c>
      <c r="AC170" s="3" t="s">
        <v>2057</v>
      </c>
    </row>
    <row r="171" spans="1:29" x14ac:dyDescent="0.2">
      <c r="A171" s="3">
        <v>11293</v>
      </c>
      <c r="B171" t="s">
        <v>208</v>
      </c>
      <c r="C171" s="16" t="s">
        <v>2060</v>
      </c>
      <c r="D171" s="5" t="s">
        <v>68</v>
      </c>
      <c r="E171" s="18">
        <v>15</v>
      </c>
      <c r="F171" s="18">
        <v>25</v>
      </c>
      <c r="G171" s="18">
        <v>77</v>
      </c>
      <c r="H171" s="18">
        <v>30</v>
      </c>
      <c r="I171" s="18">
        <v>0</v>
      </c>
      <c r="J171" s="18">
        <v>0</v>
      </c>
      <c r="K171" s="19">
        <v>101</v>
      </c>
      <c r="L171" s="18">
        <v>45</v>
      </c>
      <c r="M171" s="18">
        <v>49</v>
      </c>
      <c r="N171" s="18">
        <v>18</v>
      </c>
      <c r="O171" s="18">
        <v>1</v>
      </c>
      <c r="P171" s="18">
        <v>8</v>
      </c>
      <c r="Q171" s="18">
        <v>3</v>
      </c>
      <c r="R171">
        <f t="shared" si="2"/>
        <v>0</v>
      </c>
      <c r="S171" s="18">
        <v>0</v>
      </c>
      <c r="T171" s="18">
        <v>0</v>
      </c>
      <c r="U171" s="18">
        <v>0</v>
      </c>
      <c r="V171" s="18">
        <v>0</v>
      </c>
      <c r="W171" s="18">
        <v>15</v>
      </c>
      <c r="X171" s="18">
        <v>20</v>
      </c>
      <c r="Y171" s="18">
        <v>0.6</v>
      </c>
      <c r="Z171" s="18">
        <v>0.5</v>
      </c>
      <c r="AA171">
        <v>112931</v>
      </c>
      <c r="AC171" s="3" t="s">
        <v>2057</v>
      </c>
    </row>
    <row r="172" spans="1:29" x14ac:dyDescent="0.2">
      <c r="A172" s="3">
        <v>11299</v>
      </c>
      <c r="B172" t="s">
        <v>2039</v>
      </c>
      <c r="C172" t="s">
        <v>2040</v>
      </c>
      <c r="D172" t="s">
        <v>2041</v>
      </c>
      <c r="E172">
        <v>88</v>
      </c>
      <c r="F172">
        <v>108</v>
      </c>
      <c r="G172">
        <v>0</v>
      </c>
      <c r="H172">
        <v>110</v>
      </c>
      <c r="I172">
        <v>115</v>
      </c>
      <c r="J172">
        <v>0</v>
      </c>
      <c r="K172" s="1">
        <v>102</v>
      </c>
      <c r="L172">
        <v>56</v>
      </c>
      <c r="M172">
        <v>47</v>
      </c>
      <c r="N172">
        <v>32</v>
      </c>
      <c r="O172">
        <v>3</v>
      </c>
      <c r="P172">
        <v>20</v>
      </c>
      <c r="Q172">
        <v>4</v>
      </c>
      <c r="R172">
        <f t="shared" si="2"/>
        <v>32</v>
      </c>
      <c r="S172">
        <v>8</v>
      </c>
      <c r="T172">
        <v>8</v>
      </c>
      <c r="U172">
        <v>8</v>
      </c>
      <c r="V172">
        <v>8</v>
      </c>
      <c r="W172">
        <v>110</v>
      </c>
      <c r="X172">
        <v>190</v>
      </c>
      <c r="Y172">
        <v>4.5</v>
      </c>
      <c r="Z172">
        <v>8.5</v>
      </c>
      <c r="AA172">
        <v>102991</v>
      </c>
      <c r="AB172" s="18">
        <v>112992</v>
      </c>
    </row>
    <row r="173" spans="1:29" x14ac:dyDescent="0.2">
      <c r="A173" s="3">
        <v>11301</v>
      </c>
      <c r="B173" t="s">
        <v>203</v>
      </c>
      <c r="C173" t="s">
        <v>1993</v>
      </c>
      <c r="D173" s="3" t="s">
        <v>67</v>
      </c>
      <c r="E173" s="6">
        <v>32</v>
      </c>
      <c r="F173" s="6">
        <v>40</v>
      </c>
      <c r="G173" s="6">
        <v>87</v>
      </c>
      <c r="H173" s="6">
        <v>39</v>
      </c>
      <c r="I173" s="6">
        <v>62</v>
      </c>
      <c r="J173" s="6">
        <v>79</v>
      </c>
      <c r="K173" s="6">
        <v>94</v>
      </c>
      <c r="L173" s="6">
        <v>90</v>
      </c>
      <c r="M173" s="6">
        <v>32</v>
      </c>
      <c r="N173" s="6">
        <v>37</v>
      </c>
      <c r="O173" s="6">
        <v>1</v>
      </c>
      <c r="P173" s="6">
        <v>10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15</v>
      </c>
      <c r="X173" s="6">
        <v>25</v>
      </c>
      <c r="Y173" s="6">
        <v>0.48</v>
      </c>
      <c r="Z173" s="6">
        <v>0.9</v>
      </c>
      <c r="AA173" s="6">
        <v>113011</v>
      </c>
      <c r="AB173" s="6"/>
    </row>
    <row r="174" spans="1:29" x14ac:dyDescent="0.2">
      <c r="A174" s="3">
        <v>11306</v>
      </c>
      <c r="B174" t="s">
        <v>203</v>
      </c>
      <c r="C174" t="s">
        <v>1994</v>
      </c>
      <c r="D174" s="3" t="s">
        <v>69</v>
      </c>
      <c r="E174" s="6">
        <v>32</v>
      </c>
      <c r="F174" s="6">
        <v>43</v>
      </c>
      <c r="G174" s="6">
        <v>91</v>
      </c>
      <c r="H174" s="6">
        <v>41</v>
      </c>
      <c r="I174" s="6">
        <v>76</v>
      </c>
      <c r="J174" s="6">
        <v>72</v>
      </c>
      <c r="K174" s="6">
        <v>94</v>
      </c>
      <c r="L174" s="6">
        <v>90</v>
      </c>
      <c r="M174" s="6">
        <v>38</v>
      </c>
      <c r="N174" s="6">
        <v>35.799999999999997</v>
      </c>
      <c r="O174" s="6">
        <v>1</v>
      </c>
      <c r="P174" s="6">
        <v>16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0.5</v>
      </c>
      <c r="Z174" s="6">
        <v>0.95</v>
      </c>
      <c r="AA174" s="6">
        <v>113061</v>
      </c>
      <c r="AB174" s="6"/>
    </row>
    <row r="175" spans="1:29" x14ac:dyDescent="0.2">
      <c r="A175" s="3">
        <v>11311</v>
      </c>
      <c r="B175" t="s">
        <v>90</v>
      </c>
      <c r="C175" t="s">
        <v>2358</v>
      </c>
      <c r="D175" t="s">
        <v>67</v>
      </c>
      <c r="E175">
        <v>52</v>
      </c>
      <c r="F175">
        <v>30</v>
      </c>
      <c r="G175">
        <v>0</v>
      </c>
      <c r="H175">
        <v>37</v>
      </c>
      <c r="I175">
        <v>75</v>
      </c>
      <c r="J175">
        <v>0</v>
      </c>
      <c r="K175" s="1">
        <v>95</v>
      </c>
      <c r="L175">
        <v>46</v>
      </c>
      <c r="M175">
        <v>65</v>
      </c>
      <c r="N175">
        <v>20</v>
      </c>
      <c r="O175">
        <v>1</v>
      </c>
      <c r="P175">
        <v>21</v>
      </c>
      <c r="Q175">
        <v>3</v>
      </c>
      <c r="R175" s="18">
        <f t="shared" si="2"/>
        <v>34</v>
      </c>
      <c r="S175">
        <v>12</v>
      </c>
      <c r="T175">
        <v>12</v>
      </c>
      <c r="U175">
        <v>10</v>
      </c>
      <c r="V175">
        <v>0</v>
      </c>
      <c r="W175" s="6">
        <v>30</v>
      </c>
      <c r="X175" s="6">
        <v>35</v>
      </c>
      <c r="Y175" s="6">
        <v>1.1200000000000001</v>
      </c>
      <c r="Z175" s="6">
        <v>2.1</v>
      </c>
      <c r="AA175" s="6">
        <v>113111</v>
      </c>
    </row>
    <row r="176" spans="1:29" x14ac:dyDescent="0.2">
      <c r="A176" s="3">
        <v>11316</v>
      </c>
      <c r="B176" t="s">
        <v>203</v>
      </c>
      <c r="C176" t="s">
        <v>1995</v>
      </c>
      <c r="D176" s="3" t="s">
        <v>80</v>
      </c>
      <c r="E176" s="6">
        <v>32</v>
      </c>
      <c r="F176" s="6">
        <v>40</v>
      </c>
      <c r="G176" s="6">
        <v>82</v>
      </c>
      <c r="H176" s="6">
        <v>35</v>
      </c>
      <c r="I176" s="6">
        <v>62</v>
      </c>
      <c r="J176" s="6">
        <v>73</v>
      </c>
      <c r="K176" s="6">
        <v>94</v>
      </c>
      <c r="L176" s="6">
        <v>94</v>
      </c>
      <c r="M176" s="6">
        <v>26</v>
      </c>
      <c r="N176" s="6">
        <v>41.7</v>
      </c>
      <c r="O176" s="6">
        <v>1</v>
      </c>
      <c r="P176" s="6">
        <v>25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15</v>
      </c>
      <c r="Y176" s="6">
        <v>0.5</v>
      </c>
      <c r="Z176" s="6">
        <v>0.9</v>
      </c>
      <c r="AA176" s="6">
        <v>113161</v>
      </c>
      <c r="AB176" s="6"/>
    </row>
    <row r="177" spans="1:29" x14ac:dyDescent="0.2">
      <c r="A177" s="3">
        <v>11323</v>
      </c>
      <c r="B177" t="s">
        <v>203</v>
      </c>
      <c r="C177" t="s">
        <v>1996</v>
      </c>
      <c r="D177" s="3" t="s">
        <v>80</v>
      </c>
      <c r="E177" s="6">
        <v>39</v>
      </c>
      <c r="F177" s="6">
        <v>45</v>
      </c>
      <c r="G177" s="6">
        <v>87</v>
      </c>
      <c r="H177" s="6">
        <v>37</v>
      </c>
      <c r="I177" s="6">
        <v>69</v>
      </c>
      <c r="J177" s="6">
        <v>68</v>
      </c>
      <c r="K177" s="6">
        <v>95</v>
      </c>
      <c r="L177" s="6">
        <v>102</v>
      </c>
      <c r="M177" s="6">
        <v>26</v>
      </c>
      <c r="N177" s="6">
        <v>42.5</v>
      </c>
      <c r="O177" s="6">
        <v>1</v>
      </c>
      <c r="P177" s="6">
        <v>8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20</v>
      </c>
      <c r="X177" s="6">
        <v>25</v>
      </c>
      <c r="Y177" s="6">
        <v>0.5</v>
      </c>
      <c r="Z177" s="6">
        <v>0.9</v>
      </c>
      <c r="AA177" s="6">
        <v>113231</v>
      </c>
      <c r="AB177" s="6"/>
    </row>
    <row r="178" spans="1:29" x14ac:dyDescent="0.2">
      <c r="A178" s="3">
        <v>11325</v>
      </c>
      <c r="B178" t="s">
        <v>21</v>
      </c>
      <c r="C178" s="8" t="s">
        <v>66</v>
      </c>
      <c r="D178" t="s">
        <v>67</v>
      </c>
      <c r="E178">
        <v>72</v>
      </c>
      <c r="F178">
        <v>45</v>
      </c>
      <c r="G178">
        <v>0</v>
      </c>
      <c r="H178">
        <v>64</v>
      </c>
      <c r="I178">
        <v>100</v>
      </c>
      <c r="J178">
        <v>0</v>
      </c>
      <c r="K178" s="1">
        <v>102</v>
      </c>
      <c r="L178">
        <v>60</v>
      </c>
      <c r="M178">
        <v>82</v>
      </c>
      <c r="N178">
        <v>33</v>
      </c>
      <c r="O178">
        <v>1</v>
      </c>
      <c r="P178">
        <v>28</v>
      </c>
      <c r="Q178">
        <v>4</v>
      </c>
      <c r="R178" s="18">
        <f t="shared" si="2"/>
        <v>96</v>
      </c>
      <c r="S178">
        <v>20</v>
      </c>
      <c r="T178">
        <v>20</v>
      </c>
      <c r="U178">
        <v>36</v>
      </c>
      <c r="V178">
        <v>20</v>
      </c>
      <c r="W178">
        <v>70</v>
      </c>
      <c r="X178">
        <v>75</v>
      </c>
      <c r="Y178">
        <v>2.4</v>
      </c>
      <c r="Z178">
        <v>4.5</v>
      </c>
      <c r="AA178">
        <v>103251</v>
      </c>
      <c r="AB178">
        <v>113252</v>
      </c>
      <c r="AC178" s="3" t="s">
        <v>74</v>
      </c>
    </row>
    <row r="179" spans="1:29" x14ac:dyDescent="0.2">
      <c r="A179" s="3">
        <v>11332</v>
      </c>
      <c r="B179" t="s">
        <v>90</v>
      </c>
      <c r="C179" t="s">
        <v>2543</v>
      </c>
      <c r="D179" t="s">
        <v>3</v>
      </c>
      <c r="E179">
        <v>55</v>
      </c>
      <c r="F179">
        <v>30</v>
      </c>
      <c r="G179">
        <v>0</v>
      </c>
      <c r="H179">
        <v>31</v>
      </c>
      <c r="I179">
        <v>60</v>
      </c>
      <c r="J179">
        <v>0</v>
      </c>
      <c r="K179" s="1">
        <v>96</v>
      </c>
      <c r="L179">
        <v>47</v>
      </c>
      <c r="M179">
        <v>63</v>
      </c>
      <c r="N179">
        <v>21</v>
      </c>
      <c r="O179">
        <v>1</v>
      </c>
      <c r="P179">
        <v>13</v>
      </c>
      <c r="Q179">
        <v>3</v>
      </c>
      <c r="R179" s="18">
        <f t="shared" si="2"/>
        <v>39</v>
      </c>
      <c r="S179">
        <v>17</v>
      </c>
      <c r="T179">
        <v>12</v>
      </c>
      <c r="U179">
        <v>10</v>
      </c>
      <c r="V179">
        <v>0</v>
      </c>
      <c r="W179">
        <v>35</v>
      </c>
      <c r="X179">
        <v>35</v>
      </c>
      <c r="Y179">
        <v>1.28</v>
      </c>
      <c r="Z179">
        <v>2.2999999999999998</v>
      </c>
      <c r="AA179">
        <v>113321</v>
      </c>
    </row>
    <row r="180" spans="1:29" x14ac:dyDescent="0.2">
      <c r="A180" s="3">
        <v>11335</v>
      </c>
      <c r="B180" t="s">
        <v>203</v>
      </c>
      <c r="C180" t="s">
        <v>1997</v>
      </c>
      <c r="D180" s="3" t="s">
        <v>70</v>
      </c>
      <c r="E180" s="6">
        <v>39</v>
      </c>
      <c r="F180" s="6">
        <v>50</v>
      </c>
      <c r="G180" s="6">
        <v>93</v>
      </c>
      <c r="H180" s="6">
        <v>40</v>
      </c>
      <c r="I180" s="6">
        <v>55</v>
      </c>
      <c r="J180" s="6">
        <v>74</v>
      </c>
      <c r="K180" s="6">
        <v>94</v>
      </c>
      <c r="L180" s="6">
        <v>102</v>
      </c>
      <c r="M180" s="6">
        <v>42</v>
      </c>
      <c r="N180" s="6">
        <v>41.6</v>
      </c>
      <c r="O180" s="6">
        <v>1</v>
      </c>
      <c r="P180" s="6">
        <v>10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0.6</v>
      </c>
      <c r="Z180" s="6">
        <v>1</v>
      </c>
      <c r="AA180" s="6">
        <v>113351</v>
      </c>
      <c r="AB180" s="6"/>
    </row>
    <row r="181" spans="1:29" x14ac:dyDescent="0.2">
      <c r="A181" s="3">
        <v>11339</v>
      </c>
      <c r="B181" t="s">
        <v>21</v>
      </c>
      <c r="C181" s="8" t="s">
        <v>58</v>
      </c>
      <c r="D181" t="s">
        <v>71</v>
      </c>
      <c r="E181">
        <v>80</v>
      </c>
      <c r="F181">
        <v>40</v>
      </c>
      <c r="G181">
        <v>0</v>
      </c>
      <c r="H181">
        <v>84</v>
      </c>
      <c r="I181">
        <v>73</v>
      </c>
      <c r="J181">
        <v>0</v>
      </c>
      <c r="K181">
        <v>102</v>
      </c>
      <c r="L181">
        <v>58</v>
      </c>
      <c r="M181">
        <v>72</v>
      </c>
      <c r="N181">
        <v>30</v>
      </c>
      <c r="O181">
        <v>1</v>
      </c>
      <c r="P181">
        <v>9</v>
      </c>
      <c r="Q181">
        <v>4</v>
      </c>
      <c r="R181">
        <f t="shared" si="2"/>
        <v>82</v>
      </c>
      <c r="S181">
        <v>16</v>
      </c>
      <c r="T181">
        <v>20</v>
      </c>
      <c r="U181">
        <v>30</v>
      </c>
      <c r="V181">
        <v>16</v>
      </c>
      <c r="W181" s="6">
        <v>70</v>
      </c>
      <c r="X181" s="6">
        <v>75</v>
      </c>
      <c r="Y181" s="6">
        <v>2.6</v>
      </c>
      <c r="Z181" s="6">
        <v>4.9000000000000004</v>
      </c>
      <c r="AA181">
        <v>113391</v>
      </c>
      <c r="AB181">
        <v>113392</v>
      </c>
      <c r="AC181" s="3" t="s">
        <v>2473</v>
      </c>
    </row>
    <row r="182" spans="1:29" x14ac:dyDescent="0.2">
      <c r="A182" s="3">
        <v>11340</v>
      </c>
      <c r="B182" t="s">
        <v>1942</v>
      </c>
      <c r="C182" t="s">
        <v>2472</v>
      </c>
      <c r="D182" t="s">
        <v>71</v>
      </c>
      <c r="E182">
        <v>52</v>
      </c>
      <c r="F182">
        <v>54</v>
      </c>
      <c r="G182">
        <v>0</v>
      </c>
      <c r="H182">
        <v>49</v>
      </c>
      <c r="I182">
        <v>75</v>
      </c>
      <c r="J182">
        <v>58</v>
      </c>
      <c r="K182" s="1">
        <v>100</v>
      </c>
      <c r="L182">
        <v>86</v>
      </c>
      <c r="M182">
        <v>56</v>
      </c>
      <c r="N182">
        <v>25</v>
      </c>
      <c r="O182">
        <v>2</v>
      </c>
      <c r="P182">
        <v>15</v>
      </c>
      <c r="Q182">
        <v>4</v>
      </c>
      <c r="R182" s="18">
        <f t="shared" si="2"/>
        <v>12</v>
      </c>
      <c r="S182">
        <v>0</v>
      </c>
      <c r="T182">
        <v>0</v>
      </c>
      <c r="U182">
        <v>0</v>
      </c>
      <c r="V182">
        <v>12</v>
      </c>
      <c r="W182">
        <v>40</v>
      </c>
      <c r="X182">
        <v>75</v>
      </c>
      <c r="Y182">
        <v>1.3</v>
      </c>
      <c r="Z182">
        <v>4.5999999999999996</v>
      </c>
      <c r="AA182">
        <v>113401</v>
      </c>
    </row>
    <row r="183" spans="1:29" x14ac:dyDescent="0.2">
      <c r="A183" s="3">
        <v>11342</v>
      </c>
      <c r="B183" t="s">
        <v>203</v>
      </c>
      <c r="C183" t="s">
        <v>1998</v>
      </c>
      <c r="D183" s="3" t="s">
        <v>67</v>
      </c>
      <c r="E183" s="6">
        <v>35</v>
      </c>
      <c r="F183" s="6">
        <v>45</v>
      </c>
      <c r="G183" s="6">
        <v>78</v>
      </c>
      <c r="H183" s="6">
        <v>40</v>
      </c>
      <c r="I183" s="6">
        <v>86</v>
      </c>
      <c r="J183" s="6">
        <v>125</v>
      </c>
      <c r="K183" s="6">
        <v>94</v>
      </c>
      <c r="L183" s="6">
        <v>86</v>
      </c>
      <c r="M183" s="6">
        <v>43</v>
      </c>
      <c r="N183" s="6">
        <v>35</v>
      </c>
      <c r="O183" s="6">
        <v>1</v>
      </c>
      <c r="P183" s="6">
        <v>22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0.48</v>
      </c>
      <c r="Z183" s="6">
        <v>0.9</v>
      </c>
      <c r="AA183" s="6">
        <v>113421</v>
      </c>
      <c r="AB183" s="6"/>
    </row>
    <row r="184" spans="1:29" x14ac:dyDescent="0.2">
      <c r="A184" s="3">
        <v>11344</v>
      </c>
      <c r="B184" t="s">
        <v>203</v>
      </c>
      <c r="C184" t="s">
        <v>1999</v>
      </c>
      <c r="D184" s="3" t="s">
        <v>67</v>
      </c>
      <c r="E184" s="6">
        <v>32</v>
      </c>
      <c r="F184" s="6">
        <v>43</v>
      </c>
      <c r="G184" s="6">
        <v>79</v>
      </c>
      <c r="H184" s="6">
        <v>39</v>
      </c>
      <c r="I184" s="6">
        <v>83</v>
      </c>
      <c r="J184" s="6">
        <v>115</v>
      </c>
      <c r="K184" s="6">
        <v>94</v>
      </c>
      <c r="L184" s="6">
        <v>91</v>
      </c>
      <c r="M184" s="6">
        <v>43</v>
      </c>
      <c r="N184" s="6">
        <v>37</v>
      </c>
      <c r="O184" s="6">
        <v>1</v>
      </c>
      <c r="P184" s="6">
        <v>21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113441</v>
      </c>
      <c r="AB184" s="6"/>
    </row>
    <row r="185" spans="1:29" x14ac:dyDescent="0.2">
      <c r="A185" s="15">
        <v>11351</v>
      </c>
      <c r="B185" t="s">
        <v>208</v>
      </c>
      <c r="C185" s="16" t="s">
        <v>2061</v>
      </c>
      <c r="D185" s="5" t="s">
        <v>68</v>
      </c>
      <c r="E185" s="17">
        <v>12</v>
      </c>
      <c r="F185" s="17">
        <v>22</v>
      </c>
      <c r="G185" s="17">
        <v>67</v>
      </c>
      <c r="H185" s="17">
        <v>25</v>
      </c>
      <c r="I185" s="17">
        <v>0</v>
      </c>
      <c r="J185" s="18">
        <v>0</v>
      </c>
      <c r="K185" s="18">
        <v>102</v>
      </c>
      <c r="L185" s="18">
        <v>68</v>
      </c>
      <c r="M185" s="18">
        <v>28</v>
      </c>
      <c r="N185" s="17">
        <v>25</v>
      </c>
      <c r="O185" s="18">
        <v>1</v>
      </c>
      <c r="P185" s="17">
        <v>10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10</v>
      </c>
      <c r="X185" s="18">
        <v>15</v>
      </c>
      <c r="Y185" s="18">
        <v>0.5</v>
      </c>
      <c r="Z185" s="18">
        <v>0.5</v>
      </c>
      <c r="AA185" s="6">
        <v>113511</v>
      </c>
      <c r="AC185" s="3" t="s">
        <v>2057</v>
      </c>
    </row>
    <row r="186" spans="1:29" x14ac:dyDescent="0.2">
      <c r="A186" s="3">
        <v>11362</v>
      </c>
      <c r="B186" t="s">
        <v>209</v>
      </c>
      <c r="C186" s="8" t="s">
        <v>2018</v>
      </c>
      <c r="D186" s="3" t="s">
        <v>67</v>
      </c>
      <c r="E186" s="6">
        <v>84</v>
      </c>
      <c r="F186" s="6">
        <v>115</v>
      </c>
      <c r="G186" s="6">
        <v>0</v>
      </c>
      <c r="H186" s="6">
        <v>90</v>
      </c>
      <c r="I186" s="6">
        <v>95</v>
      </c>
      <c r="J186" s="6">
        <v>0</v>
      </c>
      <c r="K186" s="6">
        <v>101</v>
      </c>
      <c r="L186" s="6">
        <v>69</v>
      </c>
      <c r="M186" s="6">
        <v>45</v>
      </c>
      <c r="N186" s="6">
        <v>33</v>
      </c>
      <c r="O186" s="6">
        <v>3</v>
      </c>
      <c r="P186" s="6">
        <v>8</v>
      </c>
      <c r="Q186" s="6">
        <v>4</v>
      </c>
      <c r="R186">
        <f t="shared" si="2"/>
        <v>12</v>
      </c>
      <c r="S186" s="6">
        <v>3</v>
      </c>
      <c r="T186" s="6">
        <v>3</v>
      </c>
      <c r="U186" s="6">
        <v>3</v>
      </c>
      <c r="V186" s="6">
        <v>3</v>
      </c>
      <c r="W186" s="6">
        <v>90</v>
      </c>
      <c r="X186" s="6">
        <v>130</v>
      </c>
      <c r="Y186" s="6">
        <v>3.5</v>
      </c>
      <c r="Z186" s="6">
        <v>5.6</v>
      </c>
      <c r="AA186" s="6">
        <v>113621</v>
      </c>
      <c r="AB186" s="6">
        <v>113622</v>
      </c>
    </row>
    <row r="187" spans="1:29" x14ac:dyDescent="0.2">
      <c r="A187" s="3">
        <v>11363</v>
      </c>
      <c r="B187" t="s">
        <v>2750</v>
      </c>
      <c r="C187" t="s">
        <v>2751</v>
      </c>
      <c r="D187" t="s">
        <v>2749</v>
      </c>
      <c r="E187">
        <v>40</v>
      </c>
      <c r="F187">
        <v>40</v>
      </c>
      <c r="G187">
        <v>0</v>
      </c>
      <c r="H187">
        <v>44</v>
      </c>
      <c r="I187">
        <v>96</v>
      </c>
      <c r="J187">
        <v>78</v>
      </c>
      <c r="K187" s="1">
        <v>107</v>
      </c>
      <c r="L187">
        <v>82</v>
      </c>
      <c r="M187">
        <v>42</v>
      </c>
      <c r="N187">
        <v>34.5</v>
      </c>
      <c r="O187">
        <v>1</v>
      </c>
      <c r="P187">
        <v>15</v>
      </c>
      <c r="Q187">
        <v>3</v>
      </c>
      <c r="R187" s="18">
        <f t="shared" si="2"/>
        <v>48</v>
      </c>
      <c r="S187">
        <v>16</v>
      </c>
      <c r="T187">
        <v>16</v>
      </c>
      <c r="U187">
        <v>16</v>
      </c>
      <c r="V187">
        <v>0</v>
      </c>
      <c r="W187">
        <v>25</v>
      </c>
      <c r="X187">
        <v>55</v>
      </c>
      <c r="Y187">
        <v>0.5</v>
      </c>
      <c r="Z187">
        <v>0.9</v>
      </c>
      <c r="AA187">
        <v>113631</v>
      </c>
    </row>
    <row r="188" spans="1:29" x14ac:dyDescent="0.2">
      <c r="A188" s="29">
        <v>11366</v>
      </c>
      <c r="B188" t="s">
        <v>208</v>
      </c>
      <c r="C188" s="29" t="s">
        <v>2066</v>
      </c>
      <c r="D188" t="s">
        <v>67</v>
      </c>
      <c r="E188">
        <v>29</v>
      </c>
      <c r="F188">
        <v>32</v>
      </c>
      <c r="G188">
        <v>88</v>
      </c>
      <c r="H188">
        <v>35</v>
      </c>
      <c r="I188">
        <v>0</v>
      </c>
      <c r="J188">
        <v>0</v>
      </c>
      <c r="K188" s="1">
        <v>108</v>
      </c>
      <c r="L188">
        <v>45</v>
      </c>
      <c r="M188">
        <v>48</v>
      </c>
      <c r="N188">
        <v>17.399999999999999</v>
      </c>
      <c r="O188">
        <v>1</v>
      </c>
      <c r="P188">
        <v>25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>
        <v>20</v>
      </c>
      <c r="X188">
        <v>25</v>
      </c>
      <c r="Y188">
        <v>0.75</v>
      </c>
      <c r="Z188">
        <v>0.8</v>
      </c>
      <c r="AA188" s="6">
        <v>103661</v>
      </c>
      <c r="AB188">
        <v>113662</v>
      </c>
    </row>
    <row r="189" spans="1:29" x14ac:dyDescent="0.2">
      <c r="A189" s="3">
        <v>11372</v>
      </c>
      <c r="B189" t="s">
        <v>203</v>
      </c>
      <c r="C189" t="s">
        <v>2000</v>
      </c>
      <c r="D189" s="3" t="s">
        <v>3</v>
      </c>
      <c r="E189" s="6">
        <v>36</v>
      </c>
      <c r="F189" s="6">
        <v>40</v>
      </c>
      <c r="G189" s="6">
        <v>93</v>
      </c>
      <c r="H189" s="6">
        <v>38</v>
      </c>
      <c r="I189" s="6">
        <v>75</v>
      </c>
      <c r="J189" s="6">
        <v>84</v>
      </c>
      <c r="K189" s="6">
        <v>94</v>
      </c>
      <c r="L189" s="6">
        <v>90</v>
      </c>
      <c r="M189" s="6">
        <v>21</v>
      </c>
      <c r="N189" s="6">
        <v>36.700000000000003</v>
      </c>
      <c r="O189" s="6">
        <v>1</v>
      </c>
      <c r="P189" s="6">
        <v>7</v>
      </c>
      <c r="Q189" s="6">
        <v>3</v>
      </c>
      <c r="R189">
        <f t="shared" si="2"/>
        <v>0</v>
      </c>
      <c r="S189" s="6">
        <v>0</v>
      </c>
      <c r="T189" s="6">
        <v>0</v>
      </c>
      <c r="U189" s="6">
        <v>0</v>
      </c>
      <c r="V189" s="6">
        <v>0</v>
      </c>
      <c r="W189" s="6">
        <v>15</v>
      </c>
      <c r="X189" s="6">
        <v>25</v>
      </c>
      <c r="Y189" s="6">
        <v>0.5</v>
      </c>
      <c r="Z189" s="6">
        <v>0.9</v>
      </c>
      <c r="AA189" s="6">
        <v>113721</v>
      </c>
      <c r="AB189" s="6"/>
    </row>
    <row r="190" spans="1:29" x14ac:dyDescent="0.2">
      <c r="A190" s="3">
        <v>11380</v>
      </c>
      <c r="B190" t="s">
        <v>206</v>
      </c>
      <c r="C190" s="8" t="s">
        <v>1872</v>
      </c>
      <c r="D190" s="3" t="s">
        <v>69</v>
      </c>
      <c r="E190" s="10">
        <v>92</v>
      </c>
      <c r="F190" s="10">
        <v>128</v>
      </c>
      <c r="G190" s="10">
        <v>0</v>
      </c>
      <c r="H190" s="10">
        <v>115</v>
      </c>
      <c r="I190" s="10">
        <v>80</v>
      </c>
      <c r="J190" s="6">
        <v>0</v>
      </c>
      <c r="K190" s="6">
        <v>102</v>
      </c>
      <c r="L190" s="6">
        <v>48</v>
      </c>
      <c r="M190" s="6">
        <v>45</v>
      </c>
      <c r="N190" s="10">
        <v>23</v>
      </c>
      <c r="O190" s="6">
        <v>3</v>
      </c>
      <c r="P190" s="10">
        <v>9</v>
      </c>
      <c r="Q190" s="6">
        <v>4</v>
      </c>
      <c r="R190">
        <f t="shared" si="2"/>
        <v>0</v>
      </c>
      <c r="S190" s="10">
        <v>0</v>
      </c>
      <c r="T190" s="10">
        <v>0</v>
      </c>
      <c r="U190" s="10">
        <v>0</v>
      </c>
      <c r="V190" s="10">
        <v>0</v>
      </c>
      <c r="W190" s="6">
        <v>130</v>
      </c>
      <c r="X190" s="6">
        <v>185</v>
      </c>
      <c r="Y190" s="6">
        <v>5</v>
      </c>
      <c r="Z190" s="6">
        <v>9</v>
      </c>
      <c r="AA190" s="6">
        <v>113801</v>
      </c>
      <c r="AB190" s="6">
        <v>113802</v>
      </c>
    </row>
    <row r="191" spans="1:29" x14ac:dyDescent="0.2">
      <c r="A191" s="29">
        <v>11400</v>
      </c>
      <c r="B191" t="s">
        <v>2250</v>
      </c>
      <c r="C191" s="29" t="s">
        <v>2724</v>
      </c>
      <c r="D191" t="s">
        <v>2725</v>
      </c>
      <c r="E191">
        <v>48</v>
      </c>
      <c r="F191">
        <v>50</v>
      </c>
      <c r="G191">
        <v>0</v>
      </c>
      <c r="H191">
        <v>58</v>
      </c>
      <c r="I191">
        <v>110</v>
      </c>
      <c r="J191">
        <v>0</v>
      </c>
      <c r="K191" s="1">
        <v>99</v>
      </c>
      <c r="L191">
        <v>83</v>
      </c>
      <c r="M191">
        <v>50</v>
      </c>
      <c r="N191">
        <v>32</v>
      </c>
      <c r="O191">
        <v>2</v>
      </c>
      <c r="P191">
        <v>30</v>
      </c>
      <c r="Q191">
        <v>4</v>
      </c>
      <c r="R191" s="18">
        <f t="shared" si="2"/>
        <v>40</v>
      </c>
      <c r="S191">
        <v>10</v>
      </c>
      <c r="T191">
        <v>10</v>
      </c>
      <c r="U191">
        <v>10</v>
      </c>
      <c r="V191">
        <v>10</v>
      </c>
      <c r="W191">
        <v>30</v>
      </c>
      <c r="X191">
        <v>75</v>
      </c>
      <c r="Y191">
        <v>1.1000000000000001</v>
      </c>
      <c r="Z191">
        <v>2</v>
      </c>
      <c r="AA191">
        <v>114001</v>
      </c>
    </row>
    <row r="192" spans="1:29" x14ac:dyDescent="0.2">
      <c r="A192" s="3">
        <v>11408</v>
      </c>
      <c r="B192" t="s">
        <v>208</v>
      </c>
      <c r="C192" s="16" t="s">
        <v>2062</v>
      </c>
      <c r="D192" s="5" t="s">
        <v>67</v>
      </c>
      <c r="E192" s="18">
        <v>17</v>
      </c>
      <c r="F192" s="18">
        <v>26</v>
      </c>
      <c r="G192" s="18">
        <v>89</v>
      </c>
      <c r="H192" s="18">
        <v>32</v>
      </c>
      <c r="I192" s="18">
        <v>0</v>
      </c>
      <c r="J192" s="18">
        <v>0</v>
      </c>
      <c r="K192" s="19">
        <v>100</v>
      </c>
      <c r="L192" s="18">
        <v>47</v>
      </c>
      <c r="M192" s="18">
        <v>47</v>
      </c>
      <c r="N192" s="18">
        <v>21</v>
      </c>
      <c r="O192" s="18">
        <v>1</v>
      </c>
      <c r="P192" s="18">
        <v>20</v>
      </c>
      <c r="Q192" s="18">
        <v>3</v>
      </c>
      <c r="R192">
        <f t="shared" si="2"/>
        <v>0</v>
      </c>
      <c r="S192" s="18">
        <v>0</v>
      </c>
      <c r="T192" s="18">
        <v>0</v>
      </c>
      <c r="U192" s="18">
        <v>0</v>
      </c>
      <c r="V192" s="18">
        <v>0</v>
      </c>
      <c r="W192" s="18">
        <v>20</v>
      </c>
      <c r="X192" s="18">
        <v>25</v>
      </c>
      <c r="Y192" s="18">
        <v>0.64</v>
      </c>
      <c r="Z192" s="18">
        <v>0.75</v>
      </c>
      <c r="AA192">
        <v>114081</v>
      </c>
    </row>
    <row r="193" spans="1:29" x14ac:dyDescent="0.2">
      <c r="A193" s="3">
        <v>11413</v>
      </c>
      <c r="B193" t="s">
        <v>2250</v>
      </c>
      <c r="C193" t="s">
        <v>2032</v>
      </c>
      <c r="D193" t="s">
        <v>2042</v>
      </c>
      <c r="E193">
        <v>52</v>
      </c>
      <c r="F193">
        <v>56</v>
      </c>
      <c r="G193">
        <v>0</v>
      </c>
      <c r="H193">
        <v>66</v>
      </c>
      <c r="I193">
        <v>100</v>
      </c>
      <c r="J193">
        <v>0</v>
      </c>
      <c r="K193">
        <v>97</v>
      </c>
      <c r="L193">
        <v>77</v>
      </c>
      <c r="M193">
        <v>47</v>
      </c>
      <c r="N193">
        <v>29</v>
      </c>
      <c r="O193">
        <v>2</v>
      </c>
      <c r="P193">
        <v>25</v>
      </c>
      <c r="Q193">
        <v>4</v>
      </c>
      <c r="R193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45</v>
      </c>
      <c r="X193">
        <v>75</v>
      </c>
      <c r="Y193">
        <v>1.3</v>
      </c>
      <c r="Z193">
        <v>2.4500000000000002</v>
      </c>
      <c r="AA193" s="18">
        <v>114131</v>
      </c>
    </row>
    <row r="194" spans="1:29" x14ac:dyDescent="0.2">
      <c r="A194" s="3">
        <v>11414</v>
      </c>
      <c r="B194" t="s">
        <v>203</v>
      </c>
      <c r="C194" t="s">
        <v>2395</v>
      </c>
      <c r="D194" t="s">
        <v>69</v>
      </c>
      <c r="E194">
        <v>28</v>
      </c>
      <c r="F194">
        <v>40</v>
      </c>
      <c r="G194">
        <v>79</v>
      </c>
      <c r="H194">
        <v>38</v>
      </c>
      <c r="I194">
        <v>55</v>
      </c>
      <c r="J194">
        <v>77</v>
      </c>
      <c r="K194" s="1">
        <v>92</v>
      </c>
      <c r="L194">
        <v>92</v>
      </c>
      <c r="M194">
        <v>37</v>
      </c>
      <c r="N194">
        <v>36</v>
      </c>
      <c r="O194">
        <v>1</v>
      </c>
      <c r="P194">
        <v>16</v>
      </c>
      <c r="Q194">
        <v>3</v>
      </c>
      <c r="R194" s="18">
        <f t="shared" ref="R194:R215" si="3">SUM($S194:$V194)</f>
        <v>0</v>
      </c>
      <c r="S194">
        <v>0</v>
      </c>
      <c r="T194">
        <v>0</v>
      </c>
      <c r="U194">
        <v>0</v>
      </c>
      <c r="V194">
        <v>0</v>
      </c>
      <c r="W194">
        <v>10</v>
      </c>
      <c r="X194">
        <v>25</v>
      </c>
      <c r="Y194">
        <v>0.48</v>
      </c>
      <c r="Z194">
        <v>0.9</v>
      </c>
      <c r="AA194">
        <v>114141</v>
      </c>
    </row>
    <row r="195" spans="1:29" x14ac:dyDescent="0.2">
      <c r="A195" s="3">
        <v>11416</v>
      </c>
      <c r="B195" t="s">
        <v>203</v>
      </c>
      <c r="C195" t="s">
        <v>2357</v>
      </c>
      <c r="D195" t="s">
        <v>80</v>
      </c>
      <c r="E195">
        <v>36</v>
      </c>
      <c r="F195">
        <v>43</v>
      </c>
      <c r="G195">
        <v>87</v>
      </c>
      <c r="H195">
        <v>47</v>
      </c>
      <c r="I195">
        <v>81</v>
      </c>
      <c r="J195">
        <v>84</v>
      </c>
      <c r="K195" s="1">
        <v>95</v>
      </c>
      <c r="L195">
        <v>96</v>
      </c>
      <c r="M195">
        <v>16</v>
      </c>
      <c r="N195">
        <v>38</v>
      </c>
      <c r="O195">
        <v>1</v>
      </c>
      <c r="P195">
        <v>7</v>
      </c>
      <c r="Q195">
        <v>3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 s="6">
        <v>15</v>
      </c>
      <c r="X195" s="6">
        <v>25</v>
      </c>
      <c r="Y195" s="6">
        <v>0.5</v>
      </c>
      <c r="Z195" s="6">
        <v>0.9</v>
      </c>
      <c r="AA195" s="6">
        <v>114161</v>
      </c>
    </row>
    <row r="196" spans="1:29" x14ac:dyDescent="0.2">
      <c r="A196" s="3">
        <v>11425</v>
      </c>
      <c r="B196" t="s">
        <v>203</v>
      </c>
      <c r="C196" t="s">
        <v>2290</v>
      </c>
      <c r="D196" t="s">
        <v>67</v>
      </c>
      <c r="E196">
        <v>32</v>
      </c>
      <c r="F196">
        <v>40</v>
      </c>
      <c r="G196">
        <v>87</v>
      </c>
      <c r="H196">
        <v>39</v>
      </c>
      <c r="I196">
        <v>62</v>
      </c>
      <c r="J196">
        <v>79</v>
      </c>
      <c r="K196" s="1">
        <v>94</v>
      </c>
      <c r="L196">
        <v>90</v>
      </c>
      <c r="M196">
        <v>32</v>
      </c>
      <c r="N196">
        <v>37</v>
      </c>
      <c r="O196">
        <v>1</v>
      </c>
      <c r="P196">
        <v>20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15</v>
      </c>
      <c r="X196">
        <v>25</v>
      </c>
      <c r="Y196">
        <v>0.48</v>
      </c>
      <c r="Z196">
        <v>0.9</v>
      </c>
      <c r="AA196">
        <v>114251</v>
      </c>
    </row>
    <row r="197" spans="1:29" x14ac:dyDescent="0.2">
      <c r="A197" s="3">
        <v>11426</v>
      </c>
      <c r="B197" t="s">
        <v>21</v>
      </c>
      <c r="C197" s="8" t="s">
        <v>62</v>
      </c>
      <c r="D197" t="s">
        <v>68</v>
      </c>
      <c r="E197">
        <v>64</v>
      </c>
      <c r="F197">
        <v>40</v>
      </c>
      <c r="G197">
        <v>0</v>
      </c>
      <c r="H197">
        <v>62</v>
      </c>
      <c r="I197">
        <v>70</v>
      </c>
      <c r="J197">
        <v>0</v>
      </c>
      <c r="K197" s="1">
        <v>100</v>
      </c>
      <c r="L197">
        <v>62</v>
      </c>
      <c r="M197">
        <v>72</v>
      </c>
      <c r="N197">
        <v>34</v>
      </c>
      <c r="O197">
        <v>1</v>
      </c>
      <c r="P197">
        <v>6</v>
      </c>
      <c r="Q197">
        <v>4</v>
      </c>
      <c r="R197" s="18">
        <f t="shared" si="3"/>
        <v>72</v>
      </c>
      <c r="S197">
        <v>16</v>
      </c>
      <c r="T197">
        <v>25</v>
      </c>
      <c r="U197">
        <v>17</v>
      </c>
      <c r="V197">
        <v>14</v>
      </c>
      <c r="W197">
        <v>70</v>
      </c>
      <c r="X197">
        <v>65</v>
      </c>
      <c r="Y197">
        <v>2.1</v>
      </c>
      <c r="Z197">
        <v>5.2</v>
      </c>
      <c r="AA197">
        <v>104261</v>
      </c>
      <c r="AB197">
        <v>114262</v>
      </c>
    </row>
    <row r="198" spans="1:29" x14ac:dyDescent="0.2">
      <c r="A198" s="29">
        <v>11430</v>
      </c>
      <c r="B198" t="s">
        <v>2250</v>
      </c>
      <c r="C198" s="29" t="s">
        <v>2722</v>
      </c>
      <c r="D198" t="s">
        <v>80</v>
      </c>
      <c r="E198">
        <v>52</v>
      </c>
      <c r="F198">
        <v>61</v>
      </c>
      <c r="G198">
        <v>0</v>
      </c>
      <c r="H198">
        <v>58</v>
      </c>
      <c r="I198">
        <v>105</v>
      </c>
      <c r="J198">
        <v>0</v>
      </c>
      <c r="K198" s="1">
        <v>99</v>
      </c>
      <c r="L198">
        <v>74</v>
      </c>
      <c r="M198">
        <v>44</v>
      </c>
      <c r="N198">
        <v>33</v>
      </c>
      <c r="O198">
        <v>2</v>
      </c>
      <c r="P198">
        <v>17</v>
      </c>
      <c r="Q198">
        <v>4</v>
      </c>
      <c r="R198" s="18">
        <f t="shared" si="3"/>
        <v>48</v>
      </c>
      <c r="S198">
        <v>12</v>
      </c>
      <c r="T198">
        <v>12</v>
      </c>
      <c r="U198">
        <v>12</v>
      </c>
      <c r="V198">
        <v>12</v>
      </c>
      <c r="W198">
        <v>30</v>
      </c>
      <c r="X198">
        <v>75</v>
      </c>
      <c r="Y198">
        <v>0.9</v>
      </c>
      <c r="Z198">
        <v>1.7</v>
      </c>
      <c r="AA198">
        <v>114301</v>
      </c>
    </row>
    <row r="199" spans="1:29" x14ac:dyDescent="0.2">
      <c r="A199" s="3">
        <v>11431</v>
      </c>
      <c r="B199" t="s">
        <v>205</v>
      </c>
      <c r="C199" t="s">
        <v>1934</v>
      </c>
      <c r="D199" s="3" t="s">
        <v>69</v>
      </c>
      <c r="E199" s="6">
        <v>60</v>
      </c>
      <c r="F199" s="6">
        <v>65</v>
      </c>
      <c r="G199" s="6">
        <v>60</v>
      </c>
      <c r="H199" s="6">
        <v>47</v>
      </c>
      <c r="I199" s="6">
        <v>81</v>
      </c>
      <c r="J199" s="6">
        <v>0</v>
      </c>
      <c r="K199" s="11">
        <v>97</v>
      </c>
      <c r="L199" s="6">
        <v>84</v>
      </c>
      <c r="M199" s="6">
        <v>62</v>
      </c>
      <c r="N199" s="6">
        <v>31.5</v>
      </c>
      <c r="O199" s="6">
        <v>2</v>
      </c>
      <c r="P199" s="6">
        <v>20</v>
      </c>
      <c r="Q199" s="6">
        <v>4</v>
      </c>
      <c r="R199">
        <f t="shared" si="3"/>
        <v>0</v>
      </c>
      <c r="S199" s="6">
        <v>0</v>
      </c>
      <c r="T199" s="6">
        <v>0</v>
      </c>
      <c r="U199" s="6">
        <v>0</v>
      </c>
      <c r="V199" s="6">
        <v>0</v>
      </c>
      <c r="W199" s="6">
        <v>35</v>
      </c>
      <c r="X199" s="6">
        <v>70</v>
      </c>
      <c r="Y199" s="6">
        <v>1.28</v>
      </c>
      <c r="Z199" s="6">
        <v>2.4</v>
      </c>
      <c r="AA199" s="6">
        <v>114311</v>
      </c>
      <c r="AB199" s="6"/>
    </row>
    <row r="200" spans="1:29" x14ac:dyDescent="0.2">
      <c r="A200" s="3">
        <v>11456</v>
      </c>
      <c r="B200" t="s">
        <v>204</v>
      </c>
      <c r="C200" t="s">
        <v>1941</v>
      </c>
      <c r="D200" s="3" t="s">
        <v>80</v>
      </c>
      <c r="E200" s="6">
        <v>64</v>
      </c>
      <c r="F200" s="6">
        <v>76</v>
      </c>
      <c r="G200" s="6">
        <v>0</v>
      </c>
      <c r="H200" s="6">
        <v>67</v>
      </c>
      <c r="I200" s="6">
        <v>100</v>
      </c>
      <c r="J200" s="6">
        <v>79</v>
      </c>
      <c r="K200" s="6">
        <v>97</v>
      </c>
      <c r="L200" s="6">
        <v>83</v>
      </c>
      <c r="M200" s="6">
        <v>59</v>
      </c>
      <c r="N200" s="6">
        <v>32.6</v>
      </c>
      <c r="O200" s="6">
        <v>2</v>
      </c>
      <c r="P200" s="6">
        <v>19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45</v>
      </c>
      <c r="X200" s="6">
        <v>80</v>
      </c>
      <c r="Y200" s="6">
        <v>1.5</v>
      </c>
      <c r="Z200" s="6">
        <v>2.8</v>
      </c>
      <c r="AA200" s="6">
        <v>114561</v>
      </c>
      <c r="AB200" s="6"/>
    </row>
    <row r="201" spans="1:29" x14ac:dyDescent="0.2">
      <c r="A201" s="3">
        <v>11467</v>
      </c>
      <c r="B201" t="s">
        <v>211</v>
      </c>
      <c r="C201" t="s">
        <v>2542</v>
      </c>
      <c r="D201" t="s">
        <v>1937</v>
      </c>
      <c r="E201">
        <v>33</v>
      </c>
      <c r="F201">
        <v>42</v>
      </c>
      <c r="G201">
        <v>0</v>
      </c>
      <c r="H201">
        <v>40</v>
      </c>
      <c r="I201">
        <v>65</v>
      </c>
      <c r="J201">
        <v>0</v>
      </c>
      <c r="K201" s="1">
        <v>101</v>
      </c>
      <c r="L201">
        <v>93</v>
      </c>
      <c r="M201">
        <v>44</v>
      </c>
      <c r="N201">
        <v>39</v>
      </c>
      <c r="O201">
        <v>1</v>
      </c>
      <c r="P201">
        <v>25</v>
      </c>
      <c r="Q201">
        <v>3</v>
      </c>
      <c r="R201" s="18">
        <f t="shared" si="3"/>
        <v>24</v>
      </c>
      <c r="S201">
        <v>8</v>
      </c>
      <c r="T201">
        <v>8</v>
      </c>
      <c r="U201">
        <v>8</v>
      </c>
      <c r="V201">
        <v>0</v>
      </c>
      <c r="W201">
        <v>25</v>
      </c>
      <c r="X201">
        <v>65</v>
      </c>
      <c r="Y201">
        <v>0.48</v>
      </c>
      <c r="Z201">
        <v>1.5</v>
      </c>
      <c r="AA201">
        <v>104671</v>
      </c>
      <c r="AB201">
        <v>114672</v>
      </c>
      <c r="AC201" s="3" t="s">
        <v>2505</v>
      </c>
    </row>
    <row r="202" spans="1:29" x14ac:dyDescent="0.2">
      <c r="A202" s="3">
        <v>11483</v>
      </c>
      <c r="B202" t="s">
        <v>75</v>
      </c>
      <c r="C202" s="8" t="s">
        <v>81</v>
      </c>
      <c r="D202" t="s">
        <v>69</v>
      </c>
      <c r="E202">
        <v>80</v>
      </c>
      <c r="F202">
        <v>45</v>
      </c>
      <c r="G202">
        <v>0</v>
      </c>
      <c r="H202">
        <v>96</v>
      </c>
      <c r="I202">
        <v>101</v>
      </c>
      <c r="J202">
        <v>0</v>
      </c>
      <c r="K202" s="1">
        <v>97</v>
      </c>
      <c r="L202">
        <v>66</v>
      </c>
      <c r="M202">
        <v>78</v>
      </c>
      <c r="N202">
        <v>30.5</v>
      </c>
      <c r="O202">
        <v>1</v>
      </c>
      <c r="P202">
        <v>25</v>
      </c>
      <c r="Q202">
        <v>4</v>
      </c>
      <c r="R202">
        <f t="shared" si="3"/>
        <v>67</v>
      </c>
      <c r="S202">
        <v>20</v>
      </c>
      <c r="T202">
        <v>21</v>
      </c>
      <c r="U202">
        <v>15</v>
      </c>
      <c r="V202">
        <v>11</v>
      </c>
      <c r="W202" s="6">
        <v>75</v>
      </c>
      <c r="X202" s="6">
        <v>90</v>
      </c>
      <c r="Y202" s="6">
        <v>2.88</v>
      </c>
      <c r="Z202" s="6">
        <v>5.5</v>
      </c>
      <c r="AA202">
        <v>104831</v>
      </c>
      <c r="AB202" s="6">
        <v>114832</v>
      </c>
    </row>
    <row r="203" spans="1:29" x14ac:dyDescent="0.2">
      <c r="A203" s="3">
        <v>11490</v>
      </c>
      <c r="B203" t="s">
        <v>209</v>
      </c>
      <c r="C203" t="s">
        <v>2574</v>
      </c>
      <c r="D203" t="s">
        <v>68</v>
      </c>
      <c r="E203">
        <v>72</v>
      </c>
      <c r="F203">
        <v>91</v>
      </c>
      <c r="G203">
        <v>45</v>
      </c>
      <c r="H203">
        <v>80</v>
      </c>
      <c r="I203">
        <v>70</v>
      </c>
      <c r="J203">
        <v>0</v>
      </c>
      <c r="K203" s="1">
        <v>94</v>
      </c>
      <c r="L203">
        <v>73</v>
      </c>
      <c r="M203">
        <v>44</v>
      </c>
      <c r="N203">
        <v>35</v>
      </c>
      <c r="O203">
        <v>3</v>
      </c>
      <c r="P203">
        <v>6</v>
      </c>
      <c r="Q203">
        <v>4</v>
      </c>
      <c r="R203" s="18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60</v>
      </c>
      <c r="X203">
        <v>130</v>
      </c>
      <c r="Y203">
        <v>2.8</v>
      </c>
      <c r="Z203">
        <v>5.8</v>
      </c>
      <c r="AA203">
        <v>104901</v>
      </c>
    </row>
    <row r="204" spans="1:29" x14ac:dyDescent="0.2">
      <c r="A204" s="29">
        <v>11496</v>
      </c>
      <c r="B204" t="s">
        <v>2233</v>
      </c>
      <c r="C204" s="29" t="s">
        <v>2234</v>
      </c>
      <c r="D204" t="s">
        <v>2222</v>
      </c>
      <c r="E204">
        <v>43</v>
      </c>
      <c r="F204">
        <v>46</v>
      </c>
      <c r="G204">
        <v>83</v>
      </c>
      <c r="H204">
        <v>42</v>
      </c>
      <c r="I204">
        <v>95</v>
      </c>
      <c r="J204">
        <v>136</v>
      </c>
      <c r="K204" s="1">
        <v>92</v>
      </c>
      <c r="L204">
        <v>91</v>
      </c>
      <c r="M204">
        <v>51</v>
      </c>
      <c r="N204">
        <v>32</v>
      </c>
      <c r="O204">
        <v>1</v>
      </c>
      <c r="P204">
        <v>10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25</v>
      </c>
      <c r="X204">
        <v>35</v>
      </c>
      <c r="Y204">
        <v>0.7</v>
      </c>
      <c r="Z204">
        <v>1.2</v>
      </c>
      <c r="AA204">
        <v>114961</v>
      </c>
    </row>
    <row r="205" spans="1:29" x14ac:dyDescent="0.2">
      <c r="A205" s="3">
        <v>11503</v>
      </c>
      <c r="B205" t="s">
        <v>203</v>
      </c>
      <c r="C205" t="s">
        <v>2480</v>
      </c>
      <c r="D205" t="s">
        <v>68</v>
      </c>
      <c r="E205">
        <v>32</v>
      </c>
      <c r="F205">
        <v>37</v>
      </c>
      <c r="G205">
        <v>81</v>
      </c>
      <c r="H205">
        <v>36</v>
      </c>
      <c r="I205">
        <v>65</v>
      </c>
      <c r="J205">
        <v>71</v>
      </c>
      <c r="K205" s="1">
        <v>92</v>
      </c>
      <c r="L205">
        <v>90</v>
      </c>
      <c r="M205">
        <v>36</v>
      </c>
      <c r="N205">
        <v>33.5</v>
      </c>
      <c r="O205">
        <v>1</v>
      </c>
      <c r="P205">
        <v>24</v>
      </c>
      <c r="Q205">
        <v>3</v>
      </c>
      <c r="R205" s="18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15</v>
      </c>
      <c r="X205">
        <v>25</v>
      </c>
      <c r="Y205">
        <v>0.48</v>
      </c>
      <c r="Z205">
        <v>0.8</v>
      </c>
      <c r="AA205">
        <v>115031</v>
      </c>
    </row>
    <row r="206" spans="1:29" x14ac:dyDescent="0.2">
      <c r="A206" s="29">
        <v>11516</v>
      </c>
      <c r="B206" t="s">
        <v>204</v>
      </c>
      <c r="C206" s="29" t="s">
        <v>2721</v>
      </c>
      <c r="D206" t="s">
        <v>80</v>
      </c>
      <c r="E206">
        <v>52</v>
      </c>
      <c r="F206">
        <v>66</v>
      </c>
      <c r="G206">
        <v>0</v>
      </c>
      <c r="H206">
        <v>58</v>
      </c>
      <c r="I206">
        <v>112</v>
      </c>
      <c r="J206">
        <v>84</v>
      </c>
      <c r="K206" s="1">
        <v>98</v>
      </c>
      <c r="L206">
        <v>76</v>
      </c>
      <c r="M206">
        <v>41</v>
      </c>
      <c r="N206">
        <v>32</v>
      </c>
      <c r="O206">
        <v>2</v>
      </c>
      <c r="P206">
        <v>18</v>
      </c>
      <c r="Q206">
        <v>4</v>
      </c>
      <c r="R206" s="18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45</v>
      </c>
      <c r="Y206">
        <v>0.9</v>
      </c>
      <c r="Z206">
        <v>1.6</v>
      </c>
      <c r="AA206">
        <v>115161</v>
      </c>
    </row>
    <row r="207" spans="1:29" x14ac:dyDescent="0.2">
      <c r="A207" s="3">
        <v>11517</v>
      </c>
      <c r="B207" t="s">
        <v>203</v>
      </c>
      <c r="C207" t="s">
        <v>2394</v>
      </c>
      <c r="D207" t="s">
        <v>68</v>
      </c>
      <c r="E207">
        <v>36</v>
      </c>
      <c r="F207">
        <v>40</v>
      </c>
      <c r="G207">
        <v>75</v>
      </c>
      <c r="H207">
        <v>37</v>
      </c>
      <c r="I207">
        <v>89</v>
      </c>
      <c r="J207">
        <v>128</v>
      </c>
      <c r="K207" s="1">
        <v>92</v>
      </c>
      <c r="L207">
        <v>90</v>
      </c>
      <c r="M207">
        <v>37</v>
      </c>
      <c r="N207">
        <v>32</v>
      </c>
      <c r="O207">
        <v>1</v>
      </c>
      <c r="P207">
        <v>10</v>
      </c>
      <c r="Q207">
        <v>3</v>
      </c>
      <c r="R207" s="18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0.9</v>
      </c>
      <c r="AA207">
        <v>115171</v>
      </c>
    </row>
    <row r="208" spans="1:29" x14ac:dyDescent="0.2">
      <c r="A208" s="29">
        <v>11527</v>
      </c>
      <c r="B208" t="s">
        <v>204</v>
      </c>
      <c r="C208" s="29" t="s">
        <v>2720</v>
      </c>
      <c r="D208" t="s">
        <v>1937</v>
      </c>
      <c r="E208">
        <v>43</v>
      </c>
      <c r="F208">
        <v>56</v>
      </c>
      <c r="G208">
        <v>55</v>
      </c>
      <c r="H208">
        <v>49</v>
      </c>
      <c r="I208">
        <v>52</v>
      </c>
      <c r="J208">
        <v>69</v>
      </c>
      <c r="K208" s="1">
        <v>97</v>
      </c>
      <c r="L208">
        <v>70</v>
      </c>
      <c r="M208">
        <v>19</v>
      </c>
      <c r="N208">
        <v>28</v>
      </c>
      <c r="O208">
        <v>2</v>
      </c>
      <c r="P208">
        <v>6</v>
      </c>
      <c r="Q208">
        <v>3</v>
      </c>
      <c r="R208" s="18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25</v>
      </c>
      <c r="Y208">
        <v>0.7</v>
      </c>
      <c r="Z208">
        <v>1.3</v>
      </c>
      <c r="AA208">
        <v>115271</v>
      </c>
    </row>
    <row r="209" spans="1:28" x14ac:dyDescent="0.2">
      <c r="A209" s="3">
        <v>11528</v>
      </c>
      <c r="B209" t="s">
        <v>2250</v>
      </c>
      <c r="C209" s="29" t="s">
        <v>2252</v>
      </c>
      <c r="D209" t="s">
        <v>67</v>
      </c>
      <c r="E209">
        <v>60</v>
      </c>
      <c r="F209">
        <v>61</v>
      </c>
      <c r="G209">
        <v>0</v>
      </c>
      <c r="H209">
        <v>68</v>
      </c>
      <c r="I209">
        <v>112</v>
      </c>
      <c r="J209">
        <v>0</v>
      </c>
      <c r="K209" s="1">
        <v>99</v>
      </c>
      <c r="L209">
        <v>85</v>
      </c>
      <c r="M209">
        <v>54</v>
      </c>
      <c r="N209">
        <v>33</v>
      </c>
      <c r="O209">
        <v>2</v>
      </c>
      <c r="P209">
        <v>18</v>
      </c>
      <c r="Q209">
        <v>4</v>
      </c>
      <c r="R209" s="18">
        <f t="shared" si="3"/>
        <v>48</v>
      </c>
      <c r="S209">
        <v>12</v>
      </c>
      <c r="T209">
        <v>12</v>
      </c>
      <c r="U209">
        <v>12</v>
      </c>
      <c r="V209">
        <v>12</v>
      </c>
      <c r="W209">
        <v>40</v>
      </c>
      <c r="X209">
        <v>70</v>
      </c>
      <c r="Y209">
        <v>1.28</v>
      </c>
      <c r="Z209">
        <v>2.4</v>
      </c>
      <c r="AA209">
        <v>115281</v>
      </c>
    </row>
    <row r="210" spans="1:28" x14ac:dyDescent="0.2">
      <c r="A210" s="3">
        <v>11530</v>
      </c>
      <c r="B210" t="s">
        <v>208</v>
      </c>
      <c r="C210" t="s">
        <v>2575</v>
      </c>
      <c r="D210" t="s">
        <v>80</v>
      </c>
      <c r="E210">
        <v>12</v>
      </c>
      <c r="F210">
        <v>23</v>
      </c>
      <c r="G210">
        <v>73</v>
      </c>
      <c r="H210">
        <v>30</v>
      </c>
      <c r="I210">
        <v>0</v>
      </c>
      <c r="J210">
        <v>0</v>
      </c>
      <c r="K210" s="1">
        <v>108</v>
      </c>
      <c r="L210">
        <v>78</v>
      </c>
      <c r="M210">
        <v>52</v>
      </c>
      <c r="N210">
        <v>16</v>
      </c>
      <c r="O210">
        <v>1</v>
      </c>
      <c r="P210">
        <v>15</v>
      </c>
      <c r="Q210">
        <v>3</v>
      </c>
      <c r="R210" s="18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20</v>
      </c>
      <c r="X210">
        <v>20</v>
      </c>
      <c r="Y210">
        <v>0.6</v>
      </c>
      <c r="Z210">
        <v>0.65</v>
      </c>
      <c r="AA210">
        <v>115301</v>
      </c>
    </row>
    <row r="211" spans="1:28" x14ac:dyDescent="0.2">
      <c r="A211" s="3">
        <v>11532</v>
      </c>
      <c r="B211" t="s">
        <v>206</v>
      </c>
      <c r="C211" t="s">
        <v>2471</v>
      </c>
      <c r="D211" t="s">
        <v>71</v>
      </c>
      <c r="E211">
        <v>56</v>
      </c>
      <c r="F211">
        <v>88</v>
      </c>
      <c r="G211">
        <v>0</v>
      </c>
      <c r="H211">
        <v>84</v>
      </c>
      <c r="I211">
        <v>53</v>
      </c>
      <c r="J211">
        <v>0</v>
      </c>
      <c r="K211" s="1">
        <v>100</v>
      </c>
      <c r="L211">
        <v>51</v>
      </c>
      <c r="M211">
        <v>42</v>
      </c>
      <c r="N211">
        <v>22</v>
      </c>
      <c r="O211">
        <v>3</v>
      </c>
      <c r="P211">
        <v>16</v>
      </c>
      <c r="Q211">
        <v>4</v>
      </c>
      <c r="R211" s="18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75</v>
      </c>
      <c r="X211">
        <v>105</v>
      </c>
      <c r="Y211">
        <v>2.25</v>
      </c>
      <c r="Z211">
        <v>4.5999999999999996</v>
      </c>
      <c r="AA211">
        <v>105321</v>
      </c>
      <c r="AB211">
        <v>115322</v>
      </c>
    </row>
    <row r="212" spans="1:28" x14ac:dyDescent="0.2">
      <c r="A212" s="3">
        <v>11538</v>
      </c>
      <c r="B212" t="s">
        <v>208</v>
      </c>
      <c r="C212" t="s">
        <v>2576</v>
      </c>
      <c r="D212" t="s">
        <v>3</v>
      </c>
      <c r="E212">
        <v>21</v>
      </c>
      <c r="F212">
        <v>24</v>
      </c>
      <c r="G212">
        <v>95</v>
      </c>
      <c r="H212">
        <v>27</v>
      </c>
      <c r="I212">
        <v>0</v>
      </c>
      <c r="J212">
        <v>0</v>
      </c>
      <c r="K212" s="1">
        <v>103</v>
      </c>
      <c r="L212">
        <v>44</v>
      </c>
      <c r="M212">
        <v>53</v>
      </c>
      <c r="N212">
        <v>23.6</v>
      </c>
      <c r="O212">
        <v>1</v>
      </c>
      <c r="P212">
        <v>13</v>
      </c>
      <c r="Q212">
        <v>3</v>
      </c>
      <c r="R212" s="18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30</v>
      </c>
      <c r="Y212">
        <v>0.6</v>
      </c>
      <c r="Z212">
        <v>0.7</v>
      </c>
      <c r="AA212">
        <v>115381</v>
      </c>
    </row>
    <row r="213" spans="1:28" x14ac:dyDescent="0.2">
      <c r="A213" s="3">
        <v>11545</v>
      </c>
      <c r="B213" t="s">
        <v>90</v>
      </c>
      <c r="C213" t="s">
        <v>2481</v>
      </c>
      <c r="D213" t="s">
        <v>68</v>
      </c>
      <c r="E213">
        <v>68</v>
      </c>
      <c r="F213">
        <v>40</v>
      </c>
      <c r="G213">
        <v>0</v>
      </c>
      <c r="H213">
        <v>57</v>
      </c>
      <c r="I213">
        <v>75</v>
      </c>
      <c r="J213">
        <v>0</v>
      </c>
      <c r="K213" s="1">
        <v>95</v>
      </c>
      <c r="L213">
        <v>83</v>
      </c>
      <c r="M213">
        <v>72</v>
      </c>
      <c r="N213">
        <v>32</v>
      </c>
      <c r="O213">
        <v>1</v>
      </c>
      <c r="P213">
        <v>7</v>
      </c>
      <c r="Q213">
        <v>3</v>
      </c>
      <c r="R213" s="18">
        <f t="shared" si="3"/>
        <v>32</v>
      </c>
      <c r="S213">
        <v>11</v>
      </c>
      <c r="T213">
        <v>11</v>
      </c>
      <c r="U213">
        <v>10</v>
      </c>
      <c r="V213">
        <v>0</v>
      </c>
      <c r="W213">
        <v>35</v>
      </c>
      <c r="X213">
        <v>70</v>
      </c>
      <c r="Y213">
        <v>1.3</v>
      </c>
      <c r="Z213">
        <v>2.64</v>
      </c>
      <c r="AA213">
        <v>115451</v>
      </c>
    </row>
    <row r="214" spans="1:28" x14ac:dyDescent="0.2">
      <c r="A214" s="3">
        <v>11560</v>
      </c>
      <c r="B214" t="s">
        <v>2577</v>
      </c>
      <c r="C214" t="s">
        <v>2578</v>
      </c>
      <c r="D214" t="s">
        <v>68</v>
      </c>
      <c r="E214">
        <v>68</v>
      </c>
      <c r="F214">
        <v>74</v>
      </c>
      <c r="G214">
        <v>0</v>
      </c>
      <c r="H214">
        <v>74</v>
      </c>
      <c r="I214">
        <v>60</v>
      </c>
      <c r="J214">
        <v>0</v>
      </c>
      <c r="K214" s="1">
        <v>99</v>
      </c>
      <c r="L214">
        <v>56</v>
      </c>
      <c r="M214">
        <v>26</v>
      </c>
      <c r="N214">
        <v>18</v>
      </c>
      <c r="O214">
        <v>3</v>
      </c>
      <c r="P214">
        <v>21</v>
      </c>
      <c r="Q214">
        <v>3</v>
      </c>
      <c r="R214" s="18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40</v>
      </c>
      <c r="X214">
        <v>65</v>
      </c>
      <c r="Y214">
        <v>1.3</v>
      </c>
      <c r="Z214">
        <v>1.2</v>
      </c>
      <c r="AA214">
        <v>115601</v>
      </c>
    </row>
    <row r="215" spans="1:28" x14ac:dyDescent="0.2">
      <c r="A215" s="3">
        <v>11575</v>
      </c>
      <c r="B215" t="s">
        <v>212</v>
      </c>
      <c r="C215" t="s">
        <v>2579</v>
      </c>
      <c r="D215" t="s">
        <v>80</v>
      </c>
      <c r="E215">
        <v>40</v>
      </c>
      <c r="F215">
        <v>46</v>
      </c>
      <c r="G215">
        <v>0</v>
      </c>
      <c r="H215">
        <v>39</v>
      </c>
      <c r="I215">
        <v>94</v>
      </c>
      <c r="J215">
        <v>74</v>
      </c>
      <c r="K215" s="1">
        <v>107</v>
      </c>
      <c r="L215">
        <v>86</v>
      </c>
      <c r="M215">
        <v>48</v>
      </c>
      <c r="N215">
        <v>35</v>
      </c>
      <c r="O215">
        <v>1</v>
      </c>
      <c r="P215">
        <v>17</v>
      </c>
      <c r="Q215">
        <v>3</v>
      </c>
      <c r="R215" s="18">
        <f t="shared" si="3"/>
        <v>48</v>
      </c>
      <c r="S215">
        <v>16</v>
      </c>
      <c r="T215">
        <v>16</v>
      </c>
      <c r="U215">
        <v>16</v>
      </c>
      <c r="V215">
        <v>0</v>
      </c>
      <c r="W215">
        <v>15</v>
      </c>
      <c r="X215">
        <v>40</v>
      </c>
      <c r="Y215">
        <v>0.5</v>
      </c>
      <c r="Z215">
        <v>0.9</v>
      </c>
      <c r="AA215">
        <v>115751</v>
      </c>
    </row>
  </sheetData>
  <autoFilter ref="A1:AC206" xr:uid="{00000000-0009-0000-0000-000001000000}">
    <sortState xmlns:xlrd2="http://schemas.microsoft.com/office/spreadsheetml/2017/richdata2" ref="A2:AC215">
      <sortCondition ref="A1:A206"/>
    </sortState>
  </autoFilter>
  <phoneticPr fontId="2" type="noConversion"/>
  <conditionalFormatting sqref="C2:C46">
    <cfRule type="expression" dxfId="57" priority="73">
      <formula>F2=6</formula>
    </cfRule>
    <cfRule type="expression" dxfId="56" priority="74">
      <formula>F2=5</formula>
    </cfRule>
    <cfRule type="expression" dxfId="55" priority="75">
      <formula>F2=4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7:C55">
    <cfRule type="expression" dxfId="51" priority="79">
      <formula>E47=6</formula>
    </cfRule>
    <cfRule type="expression" dxfId="50" priority="80">
      <formula>E47=5</formula>
    </cfRule>
    <cfRule type="expression" dxfId="49" priority="81">
      <formula>E47=4</formula>
    </cfRule>
    <cfRule type="expression" dxfId="48" priority="82">
      <formula>E47=3</formula>
    </cfRule>
    <cfRule type="expression" dxfId="47" priority="83">
      <formula>E47=2</formula>
    </cfRule>
    <cfRule type="expression" dxfId="46" priority="84">
      <formula>E47=1</formula>
    </cfRule>
  </conditionalFormatting>
  <conditionalFormatting sqref="C60:C68">
    <cfRule type="expression" dxfId="45" priority="61">
      <formula>F60=6</formula>
    </cfRule>
    <cfRule type="expression" dxfId="44" priority="62">
      <formula>F60=5</formula>
    </cfRule>
    <cfRule type="expression" dxfId="43" priority="63">
      <formula>F60=4</formula>
    </cfRule>
    <cfRule type="expression" dxfId="42" priority="64">
      <formula>F60=3</formula>
    </cfRule>
    <cfRule type="expression" dxfId="41" priority="65">
      <formula>F60=2</formula>
    </cfRule>
    <cfRule type="expression" dxfId="40" priority="66">
      <formula>F60=1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3">
      <formula>F82=2</formula>
    </cfRule>
    <cfRule type="expression" dxfId="34" priority="54">
      <formula>F82=1</formula>
    </cfRule>
  </conditionalFormatting>
  <conditionalFormatting sqref="C84">
    <cfRule type="expression" dxfId="33" priority="55">
      <formula>F85=6</formula>
    </cfRule>
    <cfRule type="expression" dxfId="32" priority="56">
      <formula>F85=5</formula>
    </cfRule>
    <cfRule type="expression" dxfId="31" priority="57">
      <formula>F85=4</formula>
    </cfRule>
    <cfRule type="expression" dxfId="30" priority="58">
      <formula>F85=3</formula>
    </cfRule>
    <cfRule type="expression" dxfId="29" priority="59">
      <formula>F85=2</formula>
    </cfRule>
    <cfRule type="expression" dxfId="28" priority="60">
      <formula>F85=1</formula>
    </cfRule>
  </conditionalFormatting>
  <conditionalFormatting sqref="C91:C116">
    <cfRule type="expression" dxfId="27" priority="25">
      <formula>F91=6</formula>
    </cfRule>
    <cfRule type="expression" dxfId="26" priority="26">
      <formula>F91=5</formula>
    </cfRule>
    <cfRule type="expression" dxfId="25" priority="27">
      <formula>F91=4</formula>
    </cfRule>
    <cfRule type="expression" dxfId="24" priority="28">
      <formula>F91=3</formula>
    </cfRule>
    <cfRule type="expression" dxfId="23" priority="29">
      <formula>F91=2</formula>
    </cfRule>
    <cfRule type="expression" dxfId="22" priority="30">
      <formula>F91=1</formula>
    </cfRule>
  </conditionalFormatting>
  <conditionalFormatting sqref="C117:C118">
    <cfRule type="expression" dxfId="21" priority="19">
      <formula>E117=6</formula>
    </cfRule>
    <cfRule type="expression" dxfId="20" priority="20">
      <formula>E117=5</formula>
    </cfRule>
    <cfRule type="expression" dxfId="19" priority="21">
      <formula>E117=4</formula>
    </cfRule>
    <cfRule type="expression" dxfId="18" priority="22">
      <formula>E117=3</formula>
    </cfRule>
    <cfRule type="expression" dxfId="17" priority="23">
      <formula>E117=2</formula>
    </cfRule>
    <cfRule type="expression" dxfId="16" priority="24">
      <formula>E117=1</formula>
    </cfRule>
  </conditionalFormatting>
  <conditionalFormatting sqref="C149:C151">
    <cfRule type="expression" dxfId="15" priority="7">
      <formula>F149=6</formula>
    </cfRule>
    <cfRule type="expression" dxfId="14" priority="8">
      <formula>F149=5</formula>
    </cfRule>
    <cfRule type="expression" dxfId="13" priority="9">
      <formula>F149=4</formula>
    </cfRule>
    <cfRule type="expression" dxfId="12" priority="10">
      <formula>F149=3</formula>
    </cfRule>
    <cfRule type="expression" dxfId="11" priority="11">
      <formula>F149=2</formula>
    </cfRule>
    <cfRule type="expression" dxfId="10" priority="12">
      <formula>F149=1</formula>
    </cfRule>
  </conditionalFormatting>
  <conditionalFormatting sqref="C190">
    <cfRule type="expression" dxfId="9" priority="1">
      <formula>F190=6</formula>
    </cfRule>
    <cfRule type="expression" dxfId="8" priority="2">
      <formula>F190=4</formula>
    </cfRule>
    <cfRule type="expression" dxfId="7" priority="3">
      <formula>F190=3</formula>
    </cfRule>
    <cfRule type="expression" dxfId="6" priority="4">
      <formula>F190=2</formula>
    </cfRule>
    <cfRule type="expression" dxfId="5" priority="5">
      <formula>F190=1</formula>
    </cfRule>
    <cfRule type="expression" dxfId="4" priority="6">
      <formula>F190=5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3"/>
  <sheetViews>
    <sheetView workbookViewId="0">
      <pane xSplit="4" ySplit="1" topLeftCell="O563" activePane="bottomRight" state="frozen"/>
      <selection pane="topRight" activeCell="E1" sqref="E1"/>
      <selection pane="bottomLeft" activeCell="A2" sqref="A2"/>
      <selection pane="bottomRight" activeCell="C577" sqref="C577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2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2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2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2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2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2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2">
      <c r="A17" s="2" t="s">
        <v>2501</v>
      </c>
      <c r="B17" t="s">
        <v>1668</v>
      </c>
      <c r="C17" t="s">
        <v>2503</v>
      </c>
      <c r="D17" t="s">
        <v>1680</v>
      </c>
      <c r="F17">
        <v>29</v>
      </c>
      <c r="L17">
        <v>3</v>
      </c>
      <c r="Q17">
        <v>1</v>
      </c>
    </row>
    <row r="18" spans="1:27" x14ac:dyDescent="0.2">
      <c r="A18" s="2" t="s">
        <v>2502</v>
      </c>
      <c r="B18" t="s">
        <v>1668</v>
      </c>
      <c r="C18" t="s">
        <v>2504</v>
      </c>
      <c r="D18" t="s">
        <v>1680</v>
      </c>
      <c r="F18">
        <v>29</v>
      </c>
      <c r="L18">
        <v>4</v>
      </c>
      <c r="Q18">
        <v>1</v>
      </c>
    </row>
    <row r="19" spans="1:27" x14ac:dyDescent="0.2">
      <c r="A19" s="2" t="s">
        <v>2652</v>
      </c>
      <c r="B19" t="s">
        <v>1668</v>
      </c>
      <c r="C19" t="s">
        <v>2504</v>
      </c>
      <c r="D19" t="s">
        <v>1680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2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2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2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2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2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2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2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2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2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2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2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2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2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2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2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2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2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2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2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2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2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2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2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2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2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2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2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2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2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2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2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2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2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2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2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2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2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2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2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2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2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2">
      <c r="A230" s="2" t="s">
        <v>1229</v>
      </c>
      <c r="B230" t="s">
        <v>293</v>
      </c>
      <c r="C230" t="s">
        <v>2558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2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2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2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2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2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2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2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2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2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2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2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2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2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2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2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2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2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2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2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2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2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2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2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2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2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2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2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2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2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2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2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2341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2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2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2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2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2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2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2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2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2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2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2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2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2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2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2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2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2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2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2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2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2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2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2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2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2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2426</v>
      </c>
      <c r="X446" t="s">
        <v>282</v>
      </c>
      <c r="Z446" t="s">
        <v>282</v>
      </c>
      <c r="AA446" t="s">
        <v>2427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2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2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2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2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2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2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2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2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2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2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2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2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2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2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2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2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2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2">
      <c r="A539" s="2" t="s">
        <v>1538</v>
      </c>
      <c r="B539" t="s">
        <v>295</v>
      </c>
      <c r="C539" t="s">
        <v>2340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2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2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2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2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2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2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8" t="s">
        <v>2177</v>
      </c>
    </row>
    <row r="576" spans="1:27" x14ac:dyDescent="0.2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2">
      <c r="A577" s="2" t="s">
        <v>2645</v>
      </c>
      <c r="B577" t="s">
        <v>303</v>
      </c>
      <c r="C577" t="s">
        <v>2787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2646</v>
      </c>
      <c r="Y577"/>
      <c r="AA577" t="s">
        <v>2647</v>
      </c>
    </row>
    <row r="578" spans="1:27" x14ac:dyDescent="0.2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8" t="s">
        <v>2183</v>
      </c>
    </row>
    <row r="580" spans="1:27" x14ac:dyDescent="0.2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8" t="s">
        <v>2187</v>
      </c>
    </row>
    <row r="581" spans="1:27" x14ac:dyDescent="0.2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8" t="s">
        <v>2195</v>
      </c>
    </row>
    <row r="584" spans="1:27" x14ac:dyDescent="0.2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8" t="s">
        <v>2196</v>
      </c>
    </row>
    <row r="585" spans="1:27" x14ac:dyDescent="0.2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8" t="s">
        <v>2200</v>
      </c>
    </row>
    <row r="586" spans="1:27" x14ac:dyDescent="0.2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2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8" t="s">
        <v>2213</v>
      </c>
    </row>
    <row r="590" spans="1:27" x14ac:dyDescent="0.2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8" t="s">
        <v>2217</v>
      </c>
    </row>
    <row r="592" spans="1:27" x14ac:dyDescent="0.2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2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2260</v>
      </c>
      <c r="B596" t="s">
        <v>2653</v>
      </c>
      <c r="C596" t="s">
        <v>2268</v>
      </c>
      <c r="D596" s="5" t="s">
        <v>2654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 x14ac:dyDescent="0.2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 x14ac:dyDescent="0.2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 x14ac:dyDescent="0.2">
      <c r="A602" s="2" t="s">
        <v>2339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2769</v>
      </c>
      <c r="Y602" s="6">
        <v>0.1</v>
      </c>
      <c r="AA602" t="s">
        <v>2330</v>
      </c>
    </row>
    <row r="603" spans="1:27" x14ac:dyDescent="0.2">
      <c r="A603" s="2" t="s">
        <v>2331</v>
      </c>
      <c r="B603" t="s">
        <v>1668</v>
      </c>
      <c r="C603" t="s">
        <v>2332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2333</v>
      </c>
      <c r="B604" t="s">
        <v>293</v>
      </c>
      <c r="C604" t="s">
        <v>2334</v>
      </c>
      <c r="D604" s="5" t="s">
        <v>2335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2">
      <c r="A605" s="2" t="s">
        <v>2342</v>
      </c>
      <c r="B605" t="s">
        <v>217</v>
      </c>
      <c r="C605" t="s">
        <v>2343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2477</v>
      </c>
    </row>
    <row r="606" spans="1:27" x14ac:dyDescent="0.2">
      <c r="A606" s="2" t="s">
        <v>2336</v>
      </c>
      <c r="B606" t="s">
        <v>293</v>
      </c>
      <c r="C606" t="s">
        <v>2337</v>
      </c>
      <c r="D606" s="5" t="s">
        <v>2335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2338</v>
      </c>
    </row>
    <row r="607" spans="1:27" x14ac:dyDescent="0.2">
      <c r="A607" s="2" t="s">
        <v>2344</v>
      </c>
      <c r="B607" t="s">
        <v>1670</v>
      </c>
      <c r="C607" t="s">
        <v>2345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2346</v>
      </c>
      <c r="AA607" t="s">
        <v>2347</v>
      </c>
    </row>
    <row r="608" spans="1:27" x14ac:dyDescent="0.2">
      <c r="A608" s="2" t="s">
        <v>2348</v>
      </c>
      <c r="B608" t="s">
        <v>1682</v>
      </c>
      <c r="C608" t="s">
        <v>2350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2351</v>
      </c>
      <c r="AA608" t="s">
        <v>2352</v>
      </c>
    </row>
    <row r="609" spans="1:27" x14ac:dyDescent="0.2">
      <c r="A609" s="2" t="s">
        <v>2349</v>
      </c>
      <c r="B609" t="s">
        <v>293</v>
      </c>
      <c r="C609" t="s">
        <v>2353</v>
      </c>
      <c r="D609" s="5" t="s">
        <v>2335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2354</v>
      </c>
    </row>
    <row r="610" spans="1:27" x14ac:dyDescent="0.2">
      <c r="A610" s="2" t="s">
        <v>2396</v>
      </c>
      <c r="B610" t="s">
        <v>295</v>
      </c>
      <c r="C610" t="s">
        <v>2397</v>
      </c>
      <c r="D610" s="5" t="s">
        <v>2398</v>
      </c>
      <c r="J610">
        <v>6</v>
      </c>
      <c r="K610">
        <v>9</v>
      </c>
      <c r="P610">
        <v>5</v>
      </c>
      <c r="Q610">
        <v>1</v>
      </c>
      <c r="W610" s="2" t="s">
        <v>2399</v>
      </c>
      <c r="Y610" s="6">
        <v>0.05</v>
      </c>
      <c r="AA610" s="28" t="s">
        <v>2400</v>
      </c>
    </row>
    <row r="611" spans="1:27" x14ac:dyDescent="0.2">
      <c r="A611" s="2" t="s">
        <v>2401</v>
      </c>
      <c r="B611" t="s">
        <v>2402</v>
      </c>
      <c r="C611" t="s">
        <v>2403</v>
      </c>
      <c r="D611" s="5" t="s">
        <v>281</v>
      </c>
      <c r="F611">
        <v>12</v>
      </c>
      <c r="L611">
        <v>2</v>
      </c>
      <c r="Q611">
        <v>1</v>
      </c>
    </row>
    <row r="612" spans="1:27" x14ac:dyDescent="0.2">
      <c r="A612" s="2" t="s">
        <v>2404</v>
      </c>
      <c r="B612" t="s">
        <v>217</v>
      </c>
      <c r="C612" t="s">
        <v>2405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2406</v>
      </c>
      <c r="B613" t="s">
        <v>2402</v>
      </c>
      <c r="C613" t="s">
        <v>2407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2408</v>
      </c>
      <c r="B614" t="s">
        <v>1682</v>
      </c>
      <c r="C614" t="s">
        <v>2409</v>
      </c>
      <c r="D614" s="5" t="s">
        <v>1555</v>
      </c>
      <c r="F614">
        <v>7</v>
      </c>
      <c r="K614">
        <v>2</v>
      </c>
      <c r="Q614">
        <v>1</v>
      </c>
      <c r="W614" s="2" t="s">
        <v>2399</v>
      </c>
      <c r="Y614" s="6">
        <v>0.1</v>
      </c>
      <c r="AA614" s="28" t="s">
        <v>2410</v>
      </c>
    </row>
    <row r="615" spans="1:27" x14ac:dyDescent="0.2">
      <c r="A615" s="2" t="s">
        <v>2411</v>
      </c>
      <c r="B615" t="s">
        <v>1670</v>
      </c>
      <c r="C615" t="s">
        <v>2412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2413</v>
      </c>
      <c r="B616" t="s">
        <v>295</v>
      </c>
      <c r="C616" t="s">
        <v>2414</v>
      </c>
      <c r="D616" s="5" t="s">
        <v>2398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2415</v>
      </c>
      <c r="B617" t="s">
        <v>2402</v>
      </c>
      <c r="C617" t="s">
        <v>2416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2417</v>
      </c>
      <c r="B618" t="s">
        <v>485</v>
      </c>
      <c r="C618" t="s">
        <v>2418</v>
      </c>
      <c r="D618" s="5" t="s">
        <v>2419</v>
      </c>
      <c r="G618">
        <v>17</v>
      </c>
      <c r="K618">
        <v>2</v>
      </c>
      <c r="Q618">
        <v>1</v>
      </c>
    </row>
    <row r="619" spans="1:27" x14ac:dyDescent="0.2">
      <c r="A619" s="2" t="s">
        <v>2420</v>
      </c>
      <c r="B619" t="s">
        <v>217</v>
      </c>
      <c r="C619" t="s">
        <v>2421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2422</v>
      </c>
      <c r="B620" t="s">
        <v>2402</v>
      </c>
      <c r="C620" t="s">
        <v>2423</v>
      </c>
      <c r="D620" s="5" t="s">
        <v>281</v>
      </c>
      <c r="F620">
        <v>10</v>
      </c>
      <c r="L620">
        <v>2</v>
      </c>
      <c r="Q620">
        <v>1</v>
      </c>
      <c r="W620" s="2" t="s">
        <v>2424</v>
      </c>
      <c r="Y620" s="6">
        <v>0.15</v>
      </c>
      <c r="AA620" t="s">
        <v>2425</v>
      </c>
    </row>
    <row r="621" spans="1:27" x14ac:dyDescent="0.2">
      <c r="A621" s="2" t="s">
        <v>2434</v>
      </c>
      <c r="B621" t="s">
        <v>483</v>
      </c>
      <c r="C621" t="s">
        <v>2433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2435</v>
      </c>
      <c r="B622" t="s">
        <v>483</v>
      </c>
      <c r="C622" t="s">
        <v>2436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2437</v>
      </c>
      <c r="B623" t="s">
        <v>295</v>
      </c>
      <c r="C623" t="s">
        <v>2438</v>
      </c>
      <c r="D623" s="5" t="s">
        <v>2398</v>
      </c>
      <c r="J623">
        <v>4</v>
      </c>
      <c r="K623">
        <v>9</v>
      </c>
      <c r="Q623">
        <v>1</v>
      </c>
    </row>
    <row r="624" spans="1:27" x14ac:dyDescent="0.2">
      <c r="A624" s="2" t="s">
        <v>2439</v>
      </c>
      <c r="B624" t="s">
        <v>485</v>
      </c>
      <c r="C624" t="s">
        <v>2440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2441</v>
      </c>
      <c r="B625" t="s">
        <v>217</v>
      </c>
      <c r="C625" t="s">
        <v>2442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2443</v>
      </c>
      <c r="B626" t="s">
        <v>295</v>
      </c>
      <c r="C626" t="s">
        <v>2476</v>
      </c>
      <c r="D626" s="5" t="s">
        <v>2398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2444</v>
      </c>
      <c r="AA626" t="s">
        <v>2445</v>
      </c>
    </row>
    <row r="627" spans="1:27" x14ac:dyDescent="0.2">
      <c r="A627" s="2" t="s">
        <v>2446</v>
      </c>
      <c r="B627" t="s">
        <v>293</v>
      </c>
      <c r="C627" t="s">
        <v>2478</v>
      </c>
      <c r="D627" s="5" t="s">
        <v>2335</v>
      </c>
      <c r="O627">
        <v>17</v>
      </c>
      <c r="Q627">
        <v>1</v>
      </c>
      <c r="V627">
        <v>10</v>
      </c>
      <c r="W627" s="2" t="s">
        <v>2447</v>
      </c>
      <c r="AA627" t="s">
        <v>2448</v>
      </c>
    </row>
    <row r="628" spans="1:27" x14ac:dyDescent="0.2">
      <c r="A628" s="2" t="s">
        <v>2449</v>
      </c>
      <c r="B628" t="s">
        <v>293</v>
      </c>
      <c r="C628" t="s">
        <v>2450</v>
      </c>
      <c r="D628" s="5" t="s">
        <v>2335</v>
      </c>
      <c r="O628">
        <v>19</v>
      </c>
      <c r="P628">
        <v>3</v>
      </c>
      <c r="Q628">
        <v>1</v>
      </c>
      <c r="V628">
        <v>12</v>
      </c>
      <c r="W628" s="2" t="s">
        <v>2451</v>
      </c>
      <c r="AA628" t="s">
        <v>2452</v>
      </c>
    </row>
    <row r="629" spans="1:27" x14ac:dyDescent="0.2">
      <c r="A629" s="2" t="s">
        <v>2453</v>
      </c>
      <c r="B629" t="s">
        <v>1670</v>
      </c>
      <c r="C629" t="s">
        <v>2454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2455</v>
      </c>
      <c r="AA629" t="s">
        <v>2456</v>
      </c>
    </row>
    <row r="630" spans="1:27" x14ac:dyDescent="0.2">
      <c r="A630" s="2" t="s">
        <v>2457</v>
      </c>
      <c r="B630" t="s">
        <v>1682</v>
      </c>
      <c r="C630" t="s">
        <v>2458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2459</v>
      </c>
      <c r="AA630" t="s">
        <v>2460</v>
      </c>
    </row>
    <row r="631" spans="1:27" x14ac:dyDescent="0.2">
      <c r="A631" s="2" t="s">
        <v>2461</v>
      </c>
      <c r="B631" t="s">
        <v>483</v>
      </c>
      <c r="C631" t="s">
        <v>2462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2463</v>
      </c>
      <c r="B632" t="s">
        <v>293</v>
      </c>
      <c r="C632" t="s">
        <v>2464</v>
      </c>
      <c r="D632" s="5" t="s">
        <v>2335</v>
      </c>
      <c r="L632">
        <v>3</v>
      </c>
      <c r="O632">
        <v>14</v>
      </c>
      <c r="Q632">
        <v>1</v>
      </c>
      <c r="V632">
        <v>10</v>
      </c>
      <c r="W632" s="2" t="s">
        <v>2465</v>
      </c>
      <c r="AA632" t="s">
        <v>2466</v>
      </c>
    </row>
    <row r="633" spans="1:27" x14ac:dyDescent="0.2">
      <c r="A633" s="2" t="s">
        <v>2467</v>
      </c>
      <c r="B633" t="s">
        <v>217</v>
      </c>
      <c r="C633" t="s">
        <v>2468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2469</v>
      </c>
      <c r="B634" t="s">
        <v>483</v>
      </c>
      <c r="C634" t="s">
        <v>2470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2483</v>
      </c>
      <c r="B635" t="s">
        <v>293</v>
      </c>
      <c r="C635" t="s">
        <v>2484</v>
      </c>
      <c r="D635" s="5" t="s">
        <v>2335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2580</v>
      </c>
      <c r="Y635" s="6" t="s">
        <v>2507</v>
      </c>
      <c r="AA635" t="s">
        <v>2506</v>
      </c>
    </row>
    <row r="636" spans="1:27" x14ac:dyDescent="0.2">
      <c r="A636" s="2" t="s">
        <v>2545</v>
      </c>
      <c r="B636" t="s">
        <v>294</v>
      </c>
      <c r="C636" t="s">
        <v>2546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2547</v>
      </c>
      <c r="AA636" t="s">
        <v>2548</v>
      </c>
    </row>
    <row r="637" spans="1:27" x14ac:dyDescent="0.2">
      <c r="A637" s="2" t="s">
        <v>2485</v>
      </c>
      <c r="B637" t="s">
        <v>293</v>
      </c>
      <c r="C637" t="s">
        <v>2486</v>
      </c>
      <c r="D637" s="5" t="s">
        <v>2335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2487</v>
      </c>
      <c r="B638" t="s">
        <v>303</v>
      </c>
      <c r="C638" t="s">
        <v>2488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2581</v>
      </c>
      <c r="X638" s="6"/>
      <c r="Y638">
        <v>0.05</v>
      </c>
      <c r="AA638" t="s">
        <v>2489</v>
      </c>
    </row>
    <row r="639" spans="1:27" x14ac:dyDescent="0.2">
      <c r="A639" s="2" t="s">
        <v>2508</v>
      </c>
      <c r="B639" t="s">
        <v>485</v>
      </c>
      <c r="C639" t="s">
        <v>2509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2410</v>
      </c>
    </row>
    <row r="640" spans="1:27" x14ac:dyDescent="0.2">
      <c r="A640" s="2" t="s">
        <v>2510</v>
      </c>
      <c r="B640" t="s">
        <v>485</v>
      </c>
      <c r="C640" t="s">
        <v>2511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2581</v>
      </c>
      <c r="Y640">
        <v>0.1</v>
      </c>
      <c r="AA640" t="s">
        <v>2512</v>
      </c>
    </row>
    <row r="641" spans="1:27" x14ac:dyDescent="0.2">
      <c r="A641" s="2" t="s">
        <v>2513</v>
      </c>
      <c r="B641" t="s">
        <v>485</v>
      </c>
      <c r="C641" t="s">
        <v>2514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2515</v>
      </c>
      <c r="Y641"/>
      <c r="AA641" t="s">
        <v>2516</v>
      </c>
    </row>
    <row r="642" spans="1:27" x14ac:dyDescent="0.2">
      <c r="A642" s="2" t="s">
        <v>2517</v>
      </c>
      <c r="B642" t="s">
        <v>303</v>
      </c>
      <c r="C642" t="s">
        <v>2518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2519</v>
      </c>
      <c r="Y642"/>
      <c r="AA642" t="s">
        <v>2520</v>
      </c>
    </row>
    <row r="643" spans="1:27" x14ac:dyDescent="0.2">
      <c r="A643" s="2" t="s">
        <v>2521</v>
      </c>
      <c r="B643" t="s">
        <v>1670</v>
      </c>
      <c r="C643" t="s">
        <v>2522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2523</v>
      </c>
      <c r="Y643"/>
      <c r="AA643" t="s">
        <v>2524</v>
      </c>
    </row>
    <row r="644" spans="1:27" x14ac:dyDescent="0.2">
      <c r="A644" s="2" t="s">
        <v>2525</v>
      </c>
      <c r="B644" t="s">
        <v>1682</v>
      </c>
      <c r="C644" t="s">
        <v>2526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2527</v>
      </c>
      <c r="Y644"/>
      <c r="AA644" t="s">
        <v>2528</v>
      </c>
    </row>
    <row r="645" spans="1:27" x14ac:dyDescent="0.2">
      <c r="A645" s="2" t="s">
        <v>2529</v>
      </c>
      <c r="B645" t="s">
        <v>485</v>
      </c>
      <c r="C645" t="s">
        <v>2530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2531</v>
      </c>
      <c r="B646" t="s">
        <v>486</v>
      </c>
      <c r="C646" t="s">
        <v>2532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2533</v>
      </c>
      <c r="B647" t="s">
        <v>217</v>
      </c>
      <c r="C647" t="s">
        <v>2534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2535</v>
      </c>
      <c r="B648" t="s">
        <v>1668</v>
      </c>
      <c r="C648" t="s">
        <v>2536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2537</v>
      </c>
      <c r="B649" t="s">
        <v>2069</v>
      </c>
      <c r="C649" t="s">
        <v>2538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2539</v>
      </c>
      <c r="Y649"/>
      <c r="AA649" t="s">
        <v>2540</v>
      </c>
    </row>
    <row r="650" spans="1:27" x14ac:dyDescent="0.2">
      <c r="A650" s="2" t="s">
        <v>2582</v>
      </c>
      <c r="B650" t="s">
        <v>486</v>
      </c>
      <c r="C650" t="s">
        <v>2583</v>
      </c>
      <c r="D650" t="s">
        <v>2584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2400</v>
      </c>
    </row>
    <row r="651" spans="1:27" x14ac:dyDescent="0.2">
      <c r="A651" s="2" t="s">
        <v>2585</v>
      </c>
      <c r="B651" t="s">
        <v>485</v>
      </c>
      <c r="C651" t="s">
        <v>2586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2587</v>
      </c>
      <c r="B652" t="s">
        <v>303</v>
      </c>
      <c r="C652" t="s">
        <v>2588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2589</v>
      </c>
      <c r="B653" t="s">
        <v>293</v>
      </c>
      <c r="C653" t="s">
        <v>2590</v>
      </c>
      <c r="D653" s="5" t="s">
        <v>2335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2591</v>
      </c>
      <c r="B654" t="s">
        <v>293</v>
      </c>
      <c r="C654" t="s">
        <v>2592</v>
      </c>
      <c r="D654" s="5" t="s">
        <v>2335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2593</v>
      </c>
    </row>
    <row r="655" spans="1:27" x14ac:dyDescent="0.2">
      <c r="A655" s="2" t="s">
        <v>2594</v>
      </c>
      <c r="B655" t="s">
        <v>486</v>
      </c>
      <c r="C655" t="s">
        <v>2595</v>
      </c>
      <c r="D655" t="s">
        <v>2584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2400</v>
      </c>
    </row>
    <row r="656" spans="1:27" x14ac:dyDescent="0.2">
      <c r="A656" s="2" t="s">
        <v>2596</v>
      </c>
      <c r="B656" t="s">
        <v>293</v>
      </c>
      <c r="C656" t="s">
        <v>2597</v>
      </c>
      <c r="D656" s="5" t="s">
        <v>2335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2354</v>
      </c>
    </row>
    <row r="657" spans="1:27" x14ac:dyDescent="0.2">
      <c r="A657" s="2" t="s">
        <v>2598</v>
      </c>
      <c r="B657" t="s">
        <v>303</v>
      </c>
      <c r="C657" t="s">
        <v>2599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2600</v>
      </c>
      <c r="Y657">
        <v>0.5</v>
      </c>
      <c r="AA657" t="s">
        <v>2601</v>
      </c>
    </row>
    <row r="658" spans="1:27" x14ac:dyDescent="0.2">
      <c r="A658" s="2" t="s">
        <v>2602</v>
      </c>
      <c r="B658" t="s">
        <v>303</v>
      </c>
      <c r="C658" t="s">
        <v>2603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2600</v>
      </c>
      <c r="Y658">
        <v>0.4</v>
      </c>
      <c r="AA658" t="s">
        <v>2604</v>
      </c>
    </row>
    <row r="659" spans="1:27" x14ac:dyDescent="0.2">
      <c r="A659" s="2" t="s">
        <v>2605</v>
      </c>
      <c r="B659" t="s">
        <v>293</v>
      </c>
      <c r="C659" t="s">
        <v>2606</v>
      </c>
      <c r="D659" s="5" t="s">
        <v>2335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2607</v>
      </c>
      <c r="Y659"/>
      <c r="AA659" t="s">
        <v>2608</v>
      </c>
    </row>
    <row r="660" spans="1:27" x14ac:dyDescent="0.2">
      <c r="A660" s="2" t="s">
        <v>2609</v>
      </c>
      <c r="B660" t="s">
        <v>294</v>
      </c>
      <c r="C660" t="s">
        <v>2610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2611</v>
      </c>
      <c r="Y660"/>
      <c r="AA660" t="s">
        <v>2612</v>
      </c>
    </row>
    <row r="661" spans="1:27" x14ac:dyDescent="0.2">
      <c r="A661" s="2" t="s">
        <v>2613</v>
      </c>
      <c r="B661" t="s">
        <v>1670</v>
      </c>
      <c r="C661" t="s">
        <v>2614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2615</v>
      </c>
      <c r="B662" t="s">
        <v>1682</v>
      </c>
      <c r="C662" t="s">
        <v>2616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2617</v>
      </c>
      <c r="B663" t="s">
        <v>293</v>
      </c>
      <c r="C663" t="s">
        <v>2618</v>
      </c>
      <c r="D663" s="5" t="s">
        <v>2335</v>
      </c>
      <c r="K663">
        <v>2</v>
      </c>
      <c r="O663">
        <v>16</v>
      </c>
      <c r="Q663">
        <v>1</v>
      </c>
      <c r="V663">
        <v>7</v>
      </c>
      <c r="W663" s="2" t="s">
        <v>2619</v>
      </c>
      <c r="Y663"/>
      <c r="AA663" t="s">
        <v>2620</v>
      </c>
    </row>
    <row r="664" spans="1:27" x14ac:dyDescent="0.2">
      <c r="A664" s="2" t="s">
        <v>2621</v>
      </c>
      <c r="B664" t="s">
        <v>483</v>
      </c>
      <c r="C664" t="s">
        <v>2622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2623</v>
      </c>
      <c r="B665" t="s">
        <v>2653</v>
      </c>
      <c r="C665" t="s">
        <v>2624</v>
      </c>
      <c r="D665" s="5" t="s">
        <v>2654</v>
      </c>
      <c r="F665">
        <v>25</v>
      </c>
      <c r="Q665">
        <v>1</v>
      </c>
      <c r="S665">
        <v>22</v>
      </c>
      <c r="V665">
        <v>12</v>
      </c>
      <c r="W665" s="2" t="s">
        <v>2625</v>
      </c>
      <c r="Y665"/>
      <c r="AA665" t="s">
        <v>2626</v>
      </c>
    </row>
    <row r="666" spans="1:27" x14ac:dyDescent="0.2">
      <c r="A666" s="2" t="s">
        <v>2627</v>
      </c>
      <c r="B666" t="s">
        <v>1682</v>
      </c>
      <c r="C666" t="s">
        <v>2628</v>
      </c>
      <c r="D666" s="5" t="s">
        <v>1555</v>
      </c>
      <c r="F666">
        <v>4</v>
      </c>
      <c r="K666">
        <v>2</v>
      </c>
      <c r="Q666">
        <v>1</v>
      </c>
      <c r="W666" s="2" t="s">
        <v>2629</v>
      </c>
      <c r="Y666"/>
      <c r="AA666" t="s">
        <v>2630</v>
      </c>
    </row>
    <row r="667" spans="1:27" x14ac:dyDescent="0.2">
      <c r="A667" s="2" t="s">
        <v>2631</v>
      </c>
      <c r="B667" t="s">
        <v>217</v>
      </c>
      <c r="C667" t="s">
        <v>2632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2633</v>
      </c>
      <c r="B668" t="s">
        <v>217</v>
      </c>
      <c r="C668" t="s">
        <v>2634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2635</v>
      </c>
      <c r="B669" t="s">
        <v>293</v>
      </c>
      <c r="C669" t="s">
        <v>2636</v>
      </c>
      <c r="D669" s="5" t="s">
        <v>2335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2637</v>
      </c>
      <c r="B670" t="s">
        <v>293</v>
      </c>
      <c r="C670" t="s">
        <v>2638</v>
      </c>
      <c r="D670" s="5" t="s">
        <v>2335</v>
      </c>
      <c r="O670">
        <v>22</v>
      </c>
      <c r="Q670">
        <v>1</v>
      </c>
      <c r="V670">
        <v>14</v>
      </c>
      <c r="W670" s="2" t="s">
        <v>2639</v>
      </c>
      <c r="Y670"/>
      <c r="AA670" t="s">
        <v>2640</v>
      </c>
    </row>
    <row r="671" spans="1:27" x14ac:dyDescent="0.2">
      <c r="A671" s="2" t="s">
        <v>2641</v>
      </c>
      <c r="B671" t="s">
        <v>1682</v>
      </c>
      <c r="C671" t="s">
        <v>2642</v>
      </c>
      <c r="D671" s="5" t="s">
        <v>1555</v>
      </c>
      <c r="F671">
        <v>9</v>
      </c>
      <c r="K671">
        <v>3</v>
      </c>
      <c r="Q671">
        <v>1</v>
      </c>
      <c r="W671" s="2" t="s">
        <v>2643</v>
      </c>
      <c r="Y671"/>
      <c r="AA671" t="s">
        <v>2644</v>
      </c>
    </row>
    <row r="672" spans="1:27" x14ac:dyDescent="0.2">
      <c r="A672" s="2" t="s">
        <v>2650</v>
      </c>
      <c r="B672" t="s">
        <v>483</v>
      </c>
      <c r="C672" t="s">
        <v>2651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2671</v>
      </c>
      <c r="B673" t="s">
        <v>483</v>
      </c>
      <c r="C673" t="s">
        <v>2672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2673</v>
      </c>
      <c r="Y673" s="6">
        <v>0.2</v>
      </c>
    </row>
    <row r="674" spans="1:27" x14ac:dyDescent="0.2">
      <c r="A674" s="2" t="s">
        <v>2686</v>
      </c>
      <c r="B674" t="s">
        <v>485</v>
      </c>
      <c r="C674" t="s">
        <v>2685</v>
      </c>
      <c r="D674" t="s">
        <v>7</v>
      </c>
      <c r="G674">
        <v>18</v>
      </c>
      <c r="Q674">
        <v>1</v>
      </c>
      <c r="W674" s="2" t="s">
        <v>2687</v>
      </c>
      <c r="AA674" t="s">
        <v>2688</v>
      </c>
    </row>
    <row r="675" spans="1:27" x14ac:dyDescent="0.2">
      <c r="A675" s="2" t="s">
        <v>2663</v>
      </c>
      <c r="B675" t="s">
        <v>2069</v>
      </c>
      <c r="C675" t="s">
        <v>2664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2665</v>
      </c>
      <c r="AA675" t="s">
        <v>2689</v>
      </c>
    </row>
    <row r="676" spans="1:27" x14ac:dyDescent="0.2">
      <c r="A676" s="2" t="s">
        <v>2690</v>
      </c>
      <c r="B676" t="s">
        <v>293</v>
      </c>
      <c r="C676" t="s">
        <v>2694</v>
      </c>
      <c r="D676" s="5" t="s">
        <v>2335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2695</v>
      </c>
      <c r="Y676" s="6">
        <v>0.15</v>
      </c>
    </row>
    <row r="677" spans="1:27" x14ac:dyDescent="0.2">
      <c r="A677" s="2" t="s">
        <v>2691</v>
      </c>
      <c r="B677" t="s">
        <v>485</v>
      </c>
      <c r="C677" t="s">
        <v>2696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2692</v>
      </c>
      <c r="B678" t="s">
        <v>293</v>
      </c>
      <c r="C678" t="s">
        <v>2697</v>
      </c>
      <c r="D678" s="5" t="s">
        <v>2335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2693</v>
      </c>
      <c r="B679" t="s">
        <v>483</v>
      </c>
      <c r="C679" t="s">
        <v>2698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2674</v>
      </c>
      <c r="B680" t="s">
        <v>293</v>
      </c>
      <c r="C680" t="s">
        <v>2675</v>
      </c>
      <c r="D680" s="5" t="s">
        <v>2335</v>
      </c>
      <c r="O680">
        <v>22</v>
      </c>
      <c r="P680">
        <v>5</v>
      </c>
      <c r="Q680">
        <v>1</v>
      </c>
      <c r="V680">
        <v>18</v>
      </c>
      <c r="W680" s="2" t="s">
        <v>2673</v>
      </c>
      <c r="Y680" s="6">
        <v>0.15</v>
      </c>
    </row>
    <row r="681" spans="1:27" x14ac:dyDescent="0.2">
      <c r="A681" s="2" t="s">
        <v>2699</v>
      </c>
      <c r="B681" t="s">
        <v>485</v>
      </c>
      <c r="C681" t="s">
        <v>2700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2702</v>
      </c>
      <c r="AA681" t="s">
        <v>2701</v>
      </c>
    </row>
    <row r="682" spans="1:27" x14ac:dyDescent="0.2">
      <c r="A682" s="2" t="s">
        <v>2657</v>
      </c>
      <c r="B682" t="s">
        <v>2069</v>
      </c>
      <c r="C682" t="s">
        <v>2658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2662</v>
      </c>
      <c r="AA682" t="s">
        <v>2703</v>
      </c>
    </row>
    <row r="683" spans="1:27" x14ac:dyDescent="0.2">
      <c r="A683" s="2" t="s">
        <v>2660</v>
      </c>
      <c r="B683" t="s">
        <v>1682</v>
      </c>
      <c r="C683" t="s">
        <v>2659</v>
      </c>
      <c r="D683" s="5" t="s">
        <v>1555</v>
      </c>
      <c r="F683">
        <v>4</v>
      </c>
      <c r="K683">
        <v>2</v>
      </c>
      <c r="Q683">
        <v>1</v>
      </c>
      <c r="W683" s="2" t="s">
        <v>2661</v>
      </c>
      <c r="AA683" t="s">
        <v>2704</v>
      </c>
    </row>
    <row r="684" spans="1:27" x14ac:dyDescent="0.2">
      <c r="A684" s="2" t="s">
        <v>2705</v>
      </c>
      <c r="B684" t="s">
        <v>1670</v>
      </c>
      <c r="C684" t="s">
        <v>2709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2706</v>
      </c>
      <c r="B685" t="s">
        <v>1682</v>
      </c>
      <c r="C685" t="s">
        <v>2710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2707</v>
      </c>
      <c r="B686" t="s">
        <v>295</v>
      </c>
      <c r="C686" t="s">
        <v>2711</v>
      </c>
      <c r="D686" s="5" t="s">
        <v>2398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2708</v>
      </c>
      <c r="B687" t="s">
        <v>486</v>
      </c>
      <c r="C687" t="s">
        <v>2712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2681</v>
      </c>
      <c r="B688" t="s">
        <v>485</v>
      </c>
      <c r="C688" t="s">
        <v>2682</v>
      </c>
      <c r="D688" t="s">
        <v>7</v>
      </c>
      <c r="G688">
        <v>23</v>
      </c>
      <c r="Q688">
        <v>1</v>
      </c>
      <c r="W688" s="2" t="s">
        <v>2683</v>
      </c>
      <c r="AA688" t="s">
        <v>2684</v>
      </c>
    </row>
    <row r="689" spans="1:27" x14ac:dyDescent="0.2">
      <c r="A689" s="2" t="s">
        <v>2676</v>
      </c>
      <c r="B689" t="s">
        <v>485</v>
      </c>
      <c r="C689" t="s">
        <v>2677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2678</v>
      </c>
      <c r="Y689" s="6">
        <v>0.15</v>
      </c>
    </row>
    <row r="690" spans="1:27" s="8" customFormat="1" x14ac:dyDescent="0.2">
      <c r="A690" s="9" t="s">
        <v>2679</v>
      </c>
      <c r="B690" s="8" t="s">
        <v>485</v>
      </c>
      <c r="C690" s="8" t="s">
        <v>2680</v>
      </c>
      <c r="D690" s="8" t="s">
        <v>7</v>
      </c>
      <c r="G690" s="8">
        <v>15</v>
      </c>
      <c r="K690" s="8">
        <v>3</v>
      </c>
      <c r="M690" s="8">
        <v>7</v>
      </c>
      <c r="Q690" s="8">
        <v>1</v>
      </c>
      <c r="W690" s="9" t="s">
        <v>2713</v>
      </c>
      <c r="Y690" s="36"/>
      <c r="AA690" t="s">
        <v>2714</v>
      </c>
    </row>
    <row r="691" spans="1:27" x14ac:dyDescent="0.2">
      <c r="A691" s="9" t="s">
        <v>2716</v>
      </c>
      <c r="B691" t="s">
        <v>483</v>
      </c>
      <c r="C691" t="s">
        <v>2715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2717</v>
      </c>
      <c r="AA691" t="s">
        <v>2718</v>
      </c>
    </row>
    <row r="692" spans="1:27" x14ac:dyDescent="0.2">
      <c r="A692" s="2" t="s">
        <v>2753</v>
      </c>
      <c r="B692" t="s">
        <v>293</v>
      </c>
      <c r="C692" t="s">
        <v>2752</v>
      </c>
      <c r="D692" s="5" t="s">
        <v>2335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2755</v>
      </c>
      <c r="B693" t="s">
        <v>483</v>
      </c>
      <c r="C693" t="s">
        <v>2754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2756</v>
      </c>
      <c r="B694" t="s">
        <v>293</v>
      </c>
      <c r="C694" t="s">
        <v>2757</v>
      </c>
      <c r="D694" s="5" t="s">
        <v>2335</v>
      </c>
      <c r="I694">
        <v>2</v>
      </c>
      <c r="O694">
        <v>18</v>
      </c>
      <c r="Q694">
        <v>1</v>
      </c>
      <c r="V694">
        <v>7</v>
      </c>
      <c r="W694" s="2" t="s">
        <v>2759</v>
      </c>
      <c r="Y694" s="6">
        <v>0.25</v>
      </c>
      <c r="AA694" t="s">
        <v>2758</v>
      </c>
    </row>
    <row r="695" spans="1:27" x14ac:dyDescent="0.2">
      <c r="A695" s="2" t="s">
        <v>2760</v>
      </c>
      <c r="B695" t="s">
        <v>217</v>
      </c>
      <c r="C695" t="s">
        <v>2761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2762</v>
      </c>
      <c r="Y695" s="6">
        <v>-0.2</v>
      </c>
      <c r="AA695" t="s">
        <v>2763</v>
      </c>
    </row>
    <row r="696" spans="1:27" x14ac:dyDescent="0.2">
      <c r="A696" s="2" t="s">
        <v>2764</v>
      </c>
      <c r="B696" t="s">
        <v>483</v>
      </c>
      <c r="C696" t="s">
        <v>2765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2766</v>
      </c>
      <c r="B697" t="s">
        <v>490</v>
      </c>
      <c r="C697" t="s">
        <v>2767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2768</v>
      </c>
      <c r="Y697" s="6">
        <v>0.09</v>
      </c>
      <c r="AA697" t="s">
        <v>2770</v>
      </c>
    </row>
    <row r="698" spans="1:27" x14ac:dyDescent="0.2">
      <c r="A698" s="2" t="s">
        <v>2771</v>
      </c>
      <c r="B698" t="s">
        <v>2069</v>
      </c>
      <c r="C698" t="s">
        <v>2772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2773</v>
      </c>
      <c r="AA698" t="s">
        <v>2774</v>
      </c>
    </row>
    <row r="699" spans="1:27" x14ac:dyDescent="0.2">
      <c r="A699" s="2" t="s">
        <v>2775</v>
      </c>
      <c r="B699" t="s">
        <v>1682</v>
      </c>
      <c r="C699" t="s">
        <v>2778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2776</v>
      </c>
      <c r="AA699" t="s">
        <v>2777</v>
      </c>
    </row>
    <row r="700" spans="1:27" x14ac:dyDescent="0.2">
      <c r="A700" s="2" t="s">
        <v>2779</v>
      </c>
      <c r="B700" t="s">
        <v>294</v>
      </c>
      <c r="C700" t="s">
        <v>2780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2781</v>
      </c>
      <c r="B701" t="s">
        <v>483</v>
      </c>
      <c r="C701" t="s">
        <v>2784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2782</v>
      </c>
      <c r="B702" t="s">
        <v>293</v>
      </c>
      <c r="C702" t="s">
        <v>2785</v>
      </c>
      <c r="D702" s="5" t="s">
        <v>2335</v>
      </c>
      <c r="O702">
        <v>23</v>
      </c>
      <c r="Q702">
        <v>1</v>
      </c>
      <c r="V702">
        <v>14</v>
      </c>
    </row>
    <row r="703" spans="1:27" x14ac:dyDescent="0.2">
      <c r="A703" s="2" t="s">
        <v>2783</v>
      </c>
      <c r="B703" t="s">
        <v>217</v>
      </c>
      <c r="C703" t="s">
        <v>2786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9"/>
  <sheetViews>
    <sheetView tabSelected="1" zoomScaleNormal="100"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O169" sqref="O169"/>
    </sheetView>
  </sheetViews>
  <sheetFormatPr defaultColWidth="8.875" defaultRowHeight="14.25" x14ac:dyDescent="0.2"/>
  <cols>
    <col min="1" max="1" width="9" style="2"/>
    <col min="3" max="3" width="16.125" bestFit="1" customWidth="1"/>
    <col min="5" max="5" width="9" style="8"/>
    <col min="12" max="12" width="9" style="1"/>
    <col min="18" max="18" width="18.125" bestFit="1" customWidth="1"/>
    <col min="19" max="21" width="19.1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 x14ac:dyDescent="0.2">
      <c r="A2" s="2" t="s">
        <v>1833</v>
      </c>
      <c r="B2" t="s">
        <v>206</v>
      </c>
      <c r="C2" t="s">
        <v>1834</v>
      </c>
      <c r="D2" t="s">
        <v>91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0</v>
      </c>
      <c r="O2" s="31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2249</v>
      </c>
      <c r="C63" t="s">
        <v>152</v>
      </c>
      <c r="D63" t="s">
        <v>91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2249</v>
      </c>
      <c r="C64" t="s">
        <v>153</v>
      </c>
      <c r="D64" t="s">
        <v>91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2249</v>
      </c>
      <c r="C65" t="s">
        <v>154</v>
      </c>
      <c r="D65" t="s">
        <v>91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2249</v>
      </c>
      <c r="C66" t="s">
        <v>155</v>
      </c>
      <c r="D66" t="s">
        <v>91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 x14ac:dyDescent="0.2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 x14ac:dyDescent="0.2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2">
      <c r="A106" s="9" t="s">
        <v>2648</v>
      </c>
      <c r="B106" s="8" t="s">
        <v>210</v>
      </c>
      <c r="C106" s="8" t="s">
        <v>2649</v>
      </c>
      <c r="D106" s="8" t="s">
        <v>91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2">
      <c r="A107" s="2" t="s">
        <v>369</v>
      </c>
      <c r="B107" t="s">
        <v>212</v>
      </c>
      <c r="C107" t="s">
        <v>192</v>
      </c>
      <c r="D107" t="s">
        <v>91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469</v>
      </c>
      <c r="B108" t="s">
        <v>212</v>
      </c>
      <c r="C108" t="s">
        <v>193</v>
      </c>
      <c r="D108" t="s">
        <v>91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470</v>
      </c>
      <c r="B109" t="s">
        <v>212</v>
      </c>
      <c r="C109" t="s">
        <v>194</v>
      </c>
      <c r="D109" t="s">
        <v>91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471</v>
      </c>
      <c r="B110" t="s">
        <v>212</v>
      </c>
      <c r="C110" t="s">
        <v>195</v>
      </c>
      <c r="D110" t="s">
        <v>91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370</v>
      </c>
      <c r="B111" t="s">
        <v>213</v>
      </c>
      <c r="C111" t="s">
        <v>196</v>
      </c>
      <c r="D111" t="s">
        <v>91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472</v>
      </c>
      <c r="B112" t="s">
        <v>213</v>
      </c>
      <c r="C112" t="s">
        <v>197</v>
      </c>
      <c r="D112" t="s">
        <v>91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473</v>
      </c>
      <c r="B113" t="s">
        <v>213</v>
      </c>
      <c r="C113" t="s">
        <v>198</v>
      </c>
      <c r="D113" t="s">
        <v>91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474</v>
      </c>
      <c r="B114" t="s">
        <v>214</v>
      </c>
      <c r="C114" t="s">
        <v>199</v>
      </c>
      <c r="D114" t="s">
        <v>91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475</v>
      </c>
      <c r="B115" t="s">
        <v>214</v>
      </c>
      <c r="C115" t="s">
        <v>200</v>
      </c>
      <c r="D115" t="s">
        <v>91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476</v>
      </c>
      <c r="B116" t="s">
        <v>214</v>
      </c>
      <c r="C116" t="s">
        <v>201</v>
      </c>
      <c r="D116" t="s">
        <v>91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477</v>
      </c>
      <c r="B117" t="s">
        <v>214</v>
      </c>
      <c r="C117" t="s">
        <v>202</v>
      </c>
      <c r="D117" t="s">
        <v>91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9" t="s">
        <v>1676</v>
      </c>
      <c r="B118" t="s">
        <v>206</v>
      </c>
      <c r="C118" t="s">
        <v>1671</v>
      </c>
      <c r="D118" t="s">
        <v>91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9" t="s">
        <v>1677</v>
      </c>
      <c r="B119" t="s">
        <v>1675</v>
      </c>
      <c r="C119" t="s">
        <v>1674</v>
      </c>
      <c r="D119" t="s">
        <v>91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9" t="s">
        <v>1678</v>
      </c>
      <c r="B120" t="s">
        <v>205</v>
      </c>
      <c r="C120" t="s">
        <v>1672</v>
      </c>
      <c r="D120" t="s">
        <v>91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9" t="s">
        <v>1679</v>
      </c>
      <c r="B121" t="s">
        <v>209</v>
      </c>
      <c r="C121" t="s">
        <v>1673</v>
      </c>
      <c r="D121" t="s">
        <v>91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20" t="s">
        <v>2004</v>
      </c>
      <c r="B122" t="s">
        <v>206</v>
      </c>
      <c r="C122" t="s">
        <v>2010</v>
      </c>
      <c r="D122" t="s">
        <v>91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2497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 x14ac:dyDescent="0.2">
      <c r="A123" s="20" t="s">
        <v>2005</v>
      </c>
      <c r="B123" t="s">
        <v>206</v>
      </c>
      <c r="C123" t="s">
        <v>1579</v>
      </c>
      <c r="D123" t="s">
        <v>91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 x14ac:dyDescent="0.2">
      <c r="A124" s="20" t="s">
        <v>2006</v>
      </c>
      <c r="B124" t="s">
        <v>1675</v>
      </c>
      <c r="C124" t="s">
        <v>2014</v>
      </c>
      <c r="D124" t="s">
        <v>91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 x14ac:dyDescent="0.2">
      <c r="A125" s="20" t="s">
        <v>2007</v>
      </c>
      <c r="B125" t="s">
        <v>206</v>
      </c>
      <c r="C125" t="s">
        <v>2011</v>
      </c>
      <c r="D125" t="s">
        <v>91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 x14ac:dyDescent="0.2">
      <c r="A126" s="20" t="s">
        <v>2008</v>
      </c>
      <c r="B126" t="s">
        <v>209</v>
      </c>
      <c r="C126" t="s">
        <v>2012</v>
      </c>
      <c r="D126" t="s">
        <v>91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 x14ac:dyDescent="0.2">
      <c r="A127" s="20" t="s">
        <v>2009</v>
      </c>
      <c r="B127" t="s">
        <v>209</v>
      </c>
      <c r="C127" t="s">
        <v>2013</v>
      </c>
      <c r="D127" t="s">
        <v>91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 x14ac:dyDescent="0.2">
      <c r="A128" s="9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 x14ac:dyDescent="0.2">
      <c r="A129" s="9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 x14ac:dyDescent="0.2">
      <c r="A130" s="9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 x14ac:dyDescent="0.2">
      <c r="A131" s="9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 x14ac:dyDescent="0.2">
      <c r="A132" s="9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 x14ac:dyDescent="0.2">
      <c r="A133" s="9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 x14ac:dyDescent="0.2">
      <c r="A134" s="9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 x14ac:dyDescent="0.2">
      <c r="A135" s="9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 x14ac:dyDescent="0.2">
      <c r="A136" s="9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 x14ac:dyDescent="0.2">
      <c r="A137" s="9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 x14ac:dyDescent="0.2">
      <c r="A138" s="9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 x14ac:dyDescent="0.2">
      <c r="A139" s="9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 x14ac:dyDescent="0.2">
      <c r="A140" s="9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 x14ac:dyDescent="0.2">
      <c r="A141" s="9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 x14ac:dyDescent="0.2">
      <c r="A142" s="9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 x14ac:dyDescent="0.2">
      <c r="A143" s="9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 x14ac:dyDescent="0.2">
      <c r="A144" s="9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2388</v>
      </c>
      <c r="S144" t="s">
        <v>2388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 x14ac:dyDescent="0.2">
      <c r="A145" s="9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2388</v>
      </c>
      <c r="S145" t="s">
        <v>2388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 x14ac:dyDescent="0.2">
      <c r="A146" s="9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2388</v>
      </c>
      <c r="S146" t="s">
        <v>2388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 x14ac:dyDescent="0.2">
      <c r="A147" s="9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2388</v>
      </c>
      <c r="S147" t="s">
        <v>2388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 x14ac:dyDescent="0.2">
      <c r="A148" s="9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2388</v>
      </c>
      <c r="S148" t="s">
        <v>2388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 x14ac:dyDescent="0.2">
      <c r="A149" s="9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 x14ac:dyDescent="0.2">
      <c r="A150" s="9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 x14ac:dyDescent="0.2">
      <c r="A151" s="9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2388</v>
      </c>
      <c r="S151" t="s">
        <v>2388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 x14ac:dyDescent="0.2">
      <c r="A152" s="7" t="s">
        <v>2490</v>
      </c>
      <c r="B152" t="s">
        <v>206</v>
      </c>
      <c r="C152" t="s">
        <v>2498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2492</v>
      </c>
    </row>
    <row r="153" spans="1:30" x14ac:dyDescent="0.2">
      <c r="A153" s="7" t="s">
        <v>2491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2492</v>
      </c>
    </row>
    <row r="154" spans="1:30" x14ac:dyDescent="0.2">
      <c r="A154" s="7" t="s">
        <v>2493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2492</v>
      </c>
    </row>
    <row r="155" spans="1:30" x14ac:dyDescent="0.2">
      <c r="A155" s="7" t="s">
        <v>2494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2492</v>
      </c>
    </row>
    <row r="156" spans="1:30" x14ac:dyDescent="0.2">
      <c r="A156" s="7" t="s">
        <v>2495</v>
      </c>
      <c r="B156" t="s">
        <v>206</v>
      </c>
      <c r="C156" t="s">
        <v>2499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2492</v>
      </c>
    </row>
    <row r="157" spans="1:30" x14ac:dyDescent="0.2">
      <c r="A157" s="7" t="s">
        <v>2500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226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2492</v>
      </c>
    </row>
    <row r="158" spans="1:30" x14ac:dyDescent="0.2">
      <c r="A158" s="34" t="s">
        <v>2549</v>
      </c>
      <c r="B158" t="s">
        <v>21</v>
      </c>
      <c r="C158" t="s">
        <v>2550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68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2556</v>
      </c>
    </row>
    <row r="159" spans="1:30" x14ac:dyDescent="0.2">
      <c r="A159" s="34" t="s">
        <v>2551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2556</v>
      </c>
    </row>
    <row r="160" spans="1:30" x14ac:dyDescent="0.2">
      <c r="A160" s="34" t="s">
        <v>2552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2556</v>
      </c>
    </row>
    <row r="161" spans="1:30" x14ac:dyDescent="0.2">
      <c r="A161" s="34" t="s">
        <v>2553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2556</v>
      </c>
    </row>
    <row r="162" spans="1:30" x14ac:dyDescent="0.2">
      <c r="A162" s="34" t="s">
        <v>2554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2556</v>
      </c>
    </row>
    <row r="163" spans="1:30" x14ac:dyDescent="0.2">
      <c r="A163" s="34" t="s">
        <v>2555</v>
      </c>
      <c r="B163" t="s">
        <v>211</v>
      </c>
      <c r="C163" t="s">
        <v>2557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2556</v>
      </c>
    </row>
    <row r="164" spans="1:30" x14ac:dyDescent="0.2">
      <c r="A164" s="7" t="s">
        <v>2559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 x14ac:dyDescent="0.2">
      <c r="A165" s="7" t="s">
        <v>2788</v>
      </c>
      <c r="B165" t="s">
        <v>206</v>
      </c>
      <c r="C165" t="s">
        <v>2498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1">
        <v>100</v>
      </c>
      <c r="K165">
        <v>0</v>
      </c>
      <c r="L165" s="1">
        <v>150</v>
      </c>
      <c r="M165" s="31">
        <v>80</v>
      </c>
      <c r="N165" s="31">
        <v>50</v>
      </c>
      <c r="O165" s="31">
        <v>28</v>
      </c>
      <c r="P165" s="31">
        <v>4</v>
      </c>
      <c r="Q165" s="31">
        <v>0</v>
      </c>
      <c r="V165">
        <f t="shared" si="6"/>
        <v>0</v>
      </c>
      <c r="W165" s="31">
        <v>0</v>
      </c>
      <c r="X165" s="31">
        <v>0</v>
      </c>
      <c r="Y165" s="31">
        <v>0</v>
      </c>
      <c r="Z165" s="31">
        <v>0</v>
      </c>
      <c r="AA165" s="33"/>
      <c r="AB165" s="31"/>
      <c r="AC165" s="31"/>
      <c r="AD165" t="s">
        <v>2492</v>
      </c>
    </row>
    <row r="166" spans="1:30" x14ac:dyDescent="0.2">
      <c r="A166" s="7" t="s">
        <v>2789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1">
        <v>100</v>
      </c>
      <c r="K166">
        <v>0</v>
      </c>
      <c r="L166" s="1">
        <v>150</v>
      </c>
      <c r="M166" s="31">
        <v>80</v>
      </c>
      <c r="N166" s="31">
        <v>50</v>
      </c>
      <c r="O166" s="31">
        <v>30</v>
      </c>
      <c r="P166" s="31">
        <v>4</v>
      </c>
      <c r="Q166" s="31">
        <v>0</v>
      </c>
      <c r="V166">
        <f t="shared" si="6"/>
        <v>0</v>
      </c>
      <c r="W166" s="31">
        <v>0</v>
      </c>
      <c r="X166" s="31">
        <v>0</v>
      </c>
      <c r="Y166" s="31">
        <v>0</v>
      </c>
      <c r="Z166" s="31">
        <v>0</v>
      </c>
      <c r="AA166" s="33"/>
      <c r="AB166" s="31"/>
      <c r="AC166" s="31"/>
      <c r="AD166" t="s">
        <v>2492</v>
      </c>
    </row>
    <row r="167" spans="1:30" x14ac:dyDescent="0.2">
      <c r="A167" s="7" t="s">
        <v>2790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1">
        <v>150</v>
      </c>
      <c r="K167">
        <v>0</v>
      </c>
      <c r="L167" s="1">
        <v>150</v>
      </c>
      <c r="M167" s="31">
        <v>5</v>
      </c>
      <c r="N167" s="31">
        <v>60</v>
      </c>
      <c r="O167" s="31">
        <v>1</v>
      </c>
      <c r="P167" s="31">
        <v>4</v>
      </c>
      <c r="Q167" s="31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3"/>
      <c r="AB167" s="31"/>
      <c r="AC167" s="31"/>
      <c r="AD167" t="s">
        <v>2492</v>
      </c>
    </row>
    <row r="168" spans="1:30" x14ac:dyDescent="0.2">
      <c r="A168" s="7" t="s">
        <v>2791</v>
      </c>
      <c r="B168" t="s">
        <v>2793</v>
      </c>
      <c r="C168" t="s">
        <v>2794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1">
        <v>150</v>
      </c>
      <c r="K168">
        <v>0</v>
      </c>
      <c r="L168" s="1">
        <v>150</v>
      </c>
      <c r="M168" s="31">
        <v>80</v>
      </c>
      <c r="N168" s="31">
        <v>60</v>
      </c>
      <c r="O168" s="31">
        <v>30</v>
      </c>
      <c r="P168" s="31">
        <v>4</v>
      </c>
      <c r="Q168" s="31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3"/>
      <c r="AB168" s="31"/>
      <c r="AC168" s="31"/>
      <c r="AD168" t="s">
        <v>2492</v>
      </c>
    </row>
    <row r="169" spans="1:30" x14ac:dyDescent="0.2">
      <c r="A169" s="7" t="s">
        <v>2792</v>
      </c>
      <c r="B169" t="s">
        <v>206</v>
      </c>
      <c r="C169" t="s">
        <v>2499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1">
        <v>100</v>
      </c>
      <c r="K169">
        <v>0</v>
      </c>
      <c r="L169" s="1">
        <v>150</v>
      </c>
      <c r="M169" s="31">
        <v>80</v>
      </c>
      <c r="N169" s="31">
        <v>50</v>
      </c>
      <c r="O169" s="31">
        <v>36</v>
      </c>
      <c r="P169" s="31">
        <v>4</v>
      </c>
      <c r="Q169" s="31">
        <v>0</v>
      </c>
      <c r="V169">
        <f>SUM($W169:$Z169)</f>
        <v>0</v>
      </c>
      <c r="W169" s="31">
        <v>0</v>
      </c>
      <c r="X169" s="31">
        <v>0</v>
      </c>
      <c r="Y169" s="31">
        <v>0</v>
      </c>
      <c r="Z169" s="31">
        <v>0</v>
      </c>
      <c r="AA169" s="33"/>
      <c r="AB169" s="31"/>
      <c r="AC169" s="31"/>
      <c r="AD169" t="s">
        <v>2492</v>
      </c>
    </row>
    <row r="170" spans="1:30" x14ac:dyDescent="0.2">
      <c r="A170" s="2" t="s">
        <v>1602</v>
      </c>
      <c r="B170" t="s">
        <v>203</v>
      </c>
      <c r="C170" t="s">
        <v>1601</v>
      </c>
      <c r="D170" t="s">
        <v>91</v>
      </c>
      <c r="E170" s="8">
        <v>5</v>
      </c>
      <c r="F170">
        <v>20</v>
      </c>
      <c r="G170">
        <v>14</v>
      </c>
      <c r="H170">
        <v>24</v>
      </c>
      <c r="I170">
        <v>10</v>
      </c>
      <c r="J170">
        <v>11</v>
      </c>
      <c r="K170">
        <v>22</v>
      </c>
      <c r="L170" s="1">
        <v>32</v>
      </c>
      <c r="M170">
        <v>17</v>
      </c>
      <c r="N170">
        <v>3</v>
      </c>
      <c r="O170">
        <v>35</v>
      </c>
      <c r="P170">
        <v>1</v>
      </c>
      <c r="Q170">
        <v>0</v>
      </c>
      <c r="R170" t="s">
        <v>219</v>
      </c>
      <c r="V170">
        <f t="shared" ref="V170:V201" si="7">SUM(W170:Z170)</f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1603</v>
      </c>
      <c r="B171" t="s">
        <v>203</v>
      </c>
      <c r="C171" t="s">
        <v>1560</v>
      </c>
      <c r="D171" t="s">
        <v>91</v>
      </c>
      <c r="E171" s="8">
        <v>5</v>
      </c>
      <c r="F171">
        <v>20</v>
      </c>
      <c r="G171">
        <v>14</v>
      </c>
      <c r="H171">
        <v>24</v>
      </c>
      <c r="I171">
        <v>10</v>
      </c>
      <c r="J171">
        <v>11</v>
      </c>
      <c r="K171">
        <v>22</v>
      </c>
      <c r="L171" s="1">
        <v>32</v>
      </c>
      <c r="M171">
        <v>17</v>
      </c>
      <c r="N171">
        <v>3</v>
      </c>
      <c r="O171">
        <v>35</v>
      </c>
      <c r="P171">
        <v>1</v>
      </c>
      <c r="Q171">
        <v>0</v>
      </c>
      <c r="R171" t="s">
        <v>219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1604</v>
      </c>
      <c r="B172" t="s">
        <v>203</v>
      </c>
      <c r="C172" t="s">
        <v>1561</v>
      </c>
      <c r="D172" t="s">
        <v>91</v>
      </c>
      <c r="E172" s="8">
        <v>5</v>
      </c>
      <c r="F172">
        <v>20</v>
      </c>
      <c r="G172">
        <v>14</v>
      </c>
      <c r="H172">
        <v>24</v>
      </c>
      <c r="I172">
        <v>10</v>
      </c>
      <c r="J172">
        <v>11</v>
      </c>
      <c r="K172">
        <v>22</v>
      </c>
      <c r="L172" s="1">
        <v>32</v>
      </c>
      <c r="M172">
        <v>17</v>
      </c>
      <c r="N172">
        <v>3</v>
      </c>
      <c r="O172">
        <v>35</v>
      </c>
      <c r="P172">
        <v>1</v>
      </c>
      <c r="Q172">
        <v>0</v>
      </c>
      <c r="R172" t="s">
        <v>219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1605</v>
      </c>
      <c r="B173" t="s">
        <v>203</v>
      </c>
      <c r="C173" t="s">
        <v>1562</v>
      </c>
      <c r="D173" t="s">
        <v>91</v>
      </c>
      <c r="E173" s="8">
        <v>5</v>
      </c>
      <c r="F173">
        <v>20</v>
      </c>
      <c r="G173">
        <v>9</v>
      </c>
      <c r="H173">
        <v>24</v>
      </c>
      <c r="I173">
        <v>8</v>
      </c>
      <c r="J173">
        <v>11</v>
      </c>
      <c r="K173">
        <v>22</v>
      </c>
      <c r="L173" s="1">
        <v>32</v>
      </c>
      <c r="M173">
        <v>17</v>
      </c>
      <c r="N173">
        <v>3</v>
      </c>
      <c r="O173">
        <v>35</v>
      </c>
      <c r="P173">
        <v>1</v>
      </c>
      <c r="Q173">
        <v>0</v>
      </c>
      <c r="R173" t="s">
        <v>219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1606</v>
      </c>
      <c r="B174" t="s">
        <v>203</v>
      </c>
      <c r="C174" t="s">
        <v>1563</v>
      </c>
      <c r="D174" t="s">
        <v>91</v>
      </c>
      <c r="E174" s="8">
        <v>5</v>
      </c>
      <c r="F174">
        <v>20</v>
      </c>
      <c r="G174">
        <v>9</v>
      </c>
      <c r="H174">
        <v>24</v>
      </c>
      <c r="I174">
        <v>8</v>
      </c>
      <c r="J174">
        <v>11</v>
      </c>
      <c r="K174">
        <v>22</v>
      </c>
      <c r="L174" s="1">
        <v>32</v>
      </c>
      <c r="M174">
        <v>17</v>
      </c>
      <c r="N174">
        <v>3</v>
      </c>
      <c r="O174">
        <v>35</v>
      </c>
      <c r="P174">
        <v>1</v>
      </c>
      <c r="Q174">
        <v>0</v>
      </c>
      <c r="R174" t="s">
        <v>219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1607</v>
      </c>
      <c r="B175" t="s">
        <v>208</v>
      </c>
      <c r="C175" t="s">
        <v>1564</v>
      </c>
      <c r="D175" t="s">
        <v>91</v>
      </c>
      <c r="E175" s="8">
        <v>8</v>
      </c>
      <c r="F175">
        <v>18</v>
      </c>
      <c r="G175">
        <v>0</v>
      </c>
      <c r="H175">
        <v>42</v>
      </c>
      <c r="I175">
        <v>7</v>
      </c>
      <c r="J175">
        <v>0</v>
      </c>
      <c r="K175">
        <v>0</v>
      </c>
      <c r="L175" s="1">
        <v>36</v>
      </c>
      <c r="M175">
        <v>3</v>
      </c>
      <c r="N175">
        <v>3</v>
      </c>
      <c r="O175">
        <v>15</v>
      </c>
      <c r="P175">
        <v>1</v>
      </c>
      <c r="Q175">
        <v>0</v>
      </c>
      <c r="R175" t="s">
        <v>231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1608</v>
      </c>
      <c r="B176" t="s">
        <v>206</v>
      </c>
      <c r="C176" t="s">
        <v>1565</v>
      </c>
      <c r="D176" t="s">
        <v>91</v>
      </c>
      <c r="E176" s="8">
        <v>50</v>
      </c>
      <c r="F176">
        <v>80</v>
      </c>
      <c r="G176">
        <v>130</v>
      </c>
      <c r="H176">
        <v>0</v>
      </c>
      <c r="I176">
        <v>85</v>
      </c>
      <c r="J176">
        <v>60</v>
      </c>
      <c r="K176">
        <v>0</v>
      </c>
      <c r="L176" s="1">
        <v>65</v>
      </c>
      <c r="M176">
        <v>32</v>
      </c>
      <c r="N176">
        <v>30</v>
      </c>
      <c r="O176">
        <v>21</v>
      </c>
      <c r="P176">
        <v>3</v>
      </c>
      <c r="Q176">
        <v>0</v>
      </c>
      <c r="R176" t="s">
        <v>227</v>
      </c>
      <c r="S176" t="s">
        <v>226</v>
      </c>
      <c r="T176" t="s">
        <v>230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1609</v>
      </c>
      <c r="B177" t="s">
        <v>203</v>
      </c>
      <c r="C177" t="s">
        <v>1566</v>
      </c>
      <c r="D177" t="s">
        <v>91</v>
      </c>
      <c r="E177" s="8">
        <v>30</v>
      </c>
      <c r="F177">
        <v>25</v>
      </c>
      <c r="G177">
        <v>41</v>
      </c>
      <c r="H177">
        <v>48</v>
      </c>
      <c r="I177">
        <v>25</v>
      </c>
      <c r="J177">
        <v>25</v>
      </c>
      <c r="K177">
        <v>36</v>
      </c>
      <c r="L177" s="1">
        <v>45</v>
      </c>
      <c r="M177">
        <v>48</v>
      </c>
      <c r="N177">
        <v>9</v>
      </c>
      <c r="O177">
        <v>40</v>
      </c>
      <c r="P177">
        <v>1</v>
      </c>
      <c r="Q177">
        <v>0</v>
      </c>
      <c r="R177" t="s">
        <v>219</v>
      </c>
      <c r="S177" t="s">
        <v>232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1610</v>
      </c>
      <c r="B178" t="s">
        <v>203</v>
      </c>
      <c r="C178" t="s">
        <v>1567</v>
      </c>
      <c r="D178" t="s">
        <v>91</v>
      </c>
      <c r="E178" s="8">
        <v>30</v>
      </c>
      <c r="F178">
        <v>25</v>
      </c>
      <c r="G178">
        <v>41</v>
      </c>
      <c r="H178">
        <v>48</v>
      </c>
      <c r="I178">
        <v>25</v>
      </c>
      <c r="J178">
        <v>25</v>
      </c>
      <c r="K178">
        <v>36</v>
      </c>
      <c r="L178" s="1">
        <v>45</v>
      </c>
      <c r="M178">
        <v>48</v>
      </c>
      <c r="N178">
        <v>9</v>
      </c>
      <c r="O178">
        <v>40</v>
      </c>
      <c r="P178">
        <v>1</v>
      </c>
      <c r="Q178">
        <v>0</v>
      </c>
      <c r="R178" t="s">
        <v>219</v>
      </c>
      <c r="S178" t="s">
        <v>232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1611</v>
      </c>
      <c r="B179" t="s">
        <v>203</v>
      </c>
      <c r="C179" t="s">
        <v>1568</v>
      </c>
      <c r="D179" t="s">
        <v>91</v>
      </c>
      <c r="E179" s="8">
        <v>30</v>
      </c>
      <c r="F179">
        <v>25</v>
      </c>
      <c r="G179">
        <v>41</v>
      </c>
      <c r="H179">
        <v>48</v>
      </c>
      <c r="I179">
        <v>25</v>
      </c>
      <c r="J179">
        <v>23</v>
      </c>
      <c r="K179">
        <v>35</v>
      </c>
      <c r="L179" s="1">
        <v>45</v>
      </c>
      <c r="M179">
        <v>48</v>
      </c>
      <c r="N179">
        <v>8</v>
      </c>
      <c r="O179">
        <v>40</v>
      </c>
      <c r="P179">
        <v>1</v>
      </c>
      <c r="Q179">
        <v>0</v>
      </c>
      <c r="R179" t="s">
        <v>219</v>
      </c>
      <c r="S179" t="s">
        <v>232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1612</v>
      </c>
      <c r="B180" t="s">
        <v>203</v>
      </c>
      <c r="C180" t="s">
        <v>1569</v>
      </c>
      <c r="D180" t="s">
        <v>91</v>
      </c>
      <c r="E180" s="8">
        <v>30</v>
      </c>
      <c r="F180">
        <v>25</v>
      </c>
      <c r="G180">
        <v>41</v>
      </c>
      <c r="H180">
        <v>48</v>
      </c>
      <c r="I180">
        <v>25</v>
      </c>
      <c r="J180">
        <v>23</v>
      </c>
      <c r="K180">
        <v>35</v>
      </c>
      <c r="L180" s="1">
        <v>45</v>
      </c>
      <c r="M180">
        <v>48</v>
      </c>
      <c r="N180">
        <v>8</v>
      </c>
      <c r="O180">
        <v>40</v>
      </c>
      <c r="P180">
        <v>1</v>
      </c>
      <c r="Q180">
        <v>0</v>
      </c>
      <c r="R180" t="s">
        <v>219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1613</v>
      </c>
      <c r="B181" t="s">
        <v>203</v>
      </c>
      <c r="C181" t="s">
        <v>1570</v>
      </c>
      <c r="D181" t="s">
        <v>91</v>
      </c>
      <c r="E181" s="8">
        <v>26</v>
      </c>
      <c r="F181">
        <v>23</v>
      </c>
      <c r="G181">
        <v>36</v>
      </c>
      <c r="H181">
        <v>44</v>
      </c>
      <c r="I181">
        <v>23</v>
      </c>
      <c r="J181">
        <v>21</v>
      </c>
      <c r="K181">
        <v>33</v>
      </c>
      <c r="L181" s="1">
        <v>43</v>
      </c>
      <c r="M181">
        <v>44</v>
      </c>
      <c r="N181">
        <v>8</v>
      </c>
      <c r="O181">
        <v>40</v>
      </c>
      <c r="P181">
        <v>1</v>
      </c>
      <c r="Q181">
        <v>0</v>
      </c>
      <c r="R181" t="s">
        <v>219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1614</v>
      </c>
      <c r="B182" t="s">
        <v>206</v>
      </c>
      <c r="C182" t="s">
        <v>1565</v>
      </c>
      <c r="D182" t="s">
        <v>91</v>
      </c>
      <c r="E182" s="8">
        <v>17</v>
      </c>
      <c r="F182">
        <v>74</v>
      </c>
      <c r="G182">
        <v>126</v>
      </c>
      <c r="H182">
        <v>0</v>
      </c>
      <c r="I182">
        <v>72</v>
      </c>
      <c r="J182">
        <v>72</v>
      </c>
      <c r="K182">
        <v>0</v>
      </c>
      <c r="L182" s="1">
        <v>48</v>
      </c>
      <c r="M182">
        <v>19</v>
      </c>
      <c r="N182">
        <v>15</v>
      </c>
      <c r="O182">
        <v>18</v>
      </c>
      <c r="P182">
        <v>3</v>
      </c>
      <c r="Q182">
        <v>0</v>
      </c>
      <c r="R182" t="s">
        <v>227</v>
      </c>
      <c r="S182" t="s">
        <v>226</v>
      </c>
      <c r="T182" t="s">
        <v>230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1615</v>
      </c>
      <c r="B183" t="s">
        <v>206</v>
      </c>
      <c r="C183" t="s">
        <v>1571</v>
      </c>
      <c r="D183" t="s">
        <v>91</v>
      </c>
      <c r="E183" s="8">
        <v>15</v>
      </c>
      <c r="F183">
        <v>72</v>
      </c>
      <c r="G183">
        <v>124</v>
      </c>
      <c r="H183">
        <v>0</v>
      </c>
      <c r="I183">
        <v>70</v>
      </c>
      <c r="J183">
        <v>66</v>
      </c>
      <c r="K183">
        <v>0</v>
      </c>
      <c r="L183" s="1">
        <v>47</v>
      </c>
      <c r="M183">
        <v>19</v>
      </c>
      <c r="N183">
        <v>12</v>
      </c>
      <c r="O183">
        <v>18</v>
      </c>
      <c r="P183">
        <v>3</v>
      </c>
      <c r="Q183">
        <v>0</v>
      </c>
      <c r="R183" t="s">
        <v>227</v>
      </c>
      <c r="S183" t="s">
        <v>226</v>
      </c>
      <c r="T183" t="s">
        <v>230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 x14ac:dyDescent="0.2">
      <c r="A184" s="2" t="s">
        <v>1616</v>
      </c>
      <c r="B184" t="s">
        <v>206</v>
      </c>
      <c r="C184" t="s">
        <v>1572</v>
      </c>
      <c r="D184" t="s">
        <v>91</v>
      </c>
      <c r="E184" s="8">
        <v>15</v>
      </c>
      <c r="F184">
        <v>72</v>
      </c>
      <c r="G184">
        <v>124</v>
      </c>
      <c r="H184">
        <v>0</v>
      </c>
      <c r="I184">
        <v>70</v>
      </c>
      <c r="J184">
        <v>66</v>
      </c>
      <c r="K184">
        <v>0</v>
      </c>
      <c r="L184" s="1">
        <v>47</v>
      </c>
      <c r="M184">
        <v>19</v>
      </c>
      <c r="N184">
        <v>12</v>
      </c>
      <c r="O184">
        <v>18</v>
      </c>
      <c r="P184">
        <v>3</v>
      </c>
      <c r="Q184">
        <v>0</v>
      </c>
      <c r="R184" t="s">
        <v>227</v>
      </c>
      <c r="S184" t="s">
        <v>226</v>
      </c>
      <c r="T184" t="s">
        <v>230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1617</v>
      </c>
      <c r="B185" t="s">
        <v>204</v>
      </c>
      <c r="C185" t="s">
        <v>1573</v>
      </c>
      <c r="D185" t="s">
        <v>91</v>
      </c>
      <c r="E185" s="8">
        <v>3</v>
      </c>
      <c r="F185">
        <v>24</v>
      </c>
      <c r="G185">
        <v>20</v>
      </c>
      <c r="H185">
        <v>40</v>
      </c>
      <c r="I185">
        <v>14</v>
      </c>
      <c r="J185">
        <v>28</v>
      </c>
      <c r="K185">
        <v>28</v>
      </c>
      <c r="L185" s="1">
        <v>36</v>
      </c>
      <c r="M185">
        <v>30</v>
      </c>
      <c r="N185">
        <v>9</v>
      </c>
      <c r="O185">
        <v>30</v>
      </c>
      <c r="P185">
        <v>2</v>
      </c>
      <c r="Q185">
        <v>0</v>
      </c>
      <c r="R185" t="s">
        <v>224</v>
      </c>
      <c r="S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1618</v>
      </c>
      <c r="B186" t="s">
        <v>204</v>
      </c>
      <c r="C186" t="s">
        <v>1574</v>
      </c>
      <c r="D186" t="s">
        <v>91</v>
      </c>
      <c r="E186" s="8">
        <v>3</v>
      </c>
      <c r="F186">
        <v>24</v>
      </c>
      <c r="G186">
        <v>20</v>
      </c>
      <c r="H186">
        <v>40</v>
      </c>
      <c r="I186">
        <v>14</v>
      </c>
      <c r="J186">
        <v>28</v>
      </c>
      <c r="K186">
        <v>28</v>
      </c>
      <c r="L186" s="1">
        <v>36</v>
      </c>
      <c r="M186">
        <v>30</v>
      </c>
      <c r="N186">
        <v>9</v>
      </c>
      <c r="O186">
        <v>30</v>
      </c>
      <c r="P186">
        <v>2</v>
      </c>
      <c r="Q186">
        <v>0</v>
      </c>
      <c r="R186" t="s">
        <v>224</v>
      </c>
      <c r="S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1619</v>
      </c>
      <c r="B187" t="s">
        <v>204</v>
      </c>
      <c r="C187" t="s">
        <v>1575</v>
      </c>
      <c r="D187" t="s">
        <v>91</v>
      </c>
      <c r="E187" s="8">
        <v>3</v>
      </c>
      <c r="F187">
        <v>24</v>
      </c>
      <c r="G187">
        <v>20</v>
      </c>
      <c r="H187">
        <v>40</v>
      </c>
      <c r="I187">
        <v>14</v>
      </c>
      <c r="J187">
        <v>28</v>
      </c>
      <c r="K187">
        <v>28</v>
      </c>
      <c r="L187" s="1">
        <v>36</v>
      </c>
      <c r="M187">
        <v>30</v>
      </c>
      <c r="N187">
        <v>9</v>
      </c>
      <c r="O187">
        <v>30</v>
      </c>
      <c r="P187">
        <v>2</v>
      </c>
      <c r="Q187">
        <v>0</v>
      </c>
      <c r="R187" t="s">
        <v>224</v>
      </c>
      <c r="S187" t="s">
        <v>231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1620</v>
      </c>
      <c r="B188" t="s">
        <v>21</v>
      </c>
      <c r="C188" t="s">
        <v>1576</v>
      </c>
      <c r="D188" t="s">
        <v>91</v>
      </c>
      <c r="E188" s="8">
        <v>53</v>
      </c>
      <c r="F188">
        <v>72</v>
      </c>
      <c r="G188">
        <v>40</v>
      </c>
      <c r="H188">
        <v>0</v>
      </c>
      <c r="I188">
        <v>60</v>
      </c>
      <c r="J188">
        <v>68</v>
      </c>
      <c r="K188">
        <v>0</v>
      </c>
      <c r="L188" s="1">
        <v>61</v>
      </c>
      <c r="M188">
        <v>39</v>
      </c>
      <c r="N188">
        <v>55</v>
      </c>
      <c r="O188">
        <v>30</v>
      </c>
      <c r="P188">
        <v>1</v>
      </c>
      <c r="Q188">
        <v>0</v>
      </c>
      <c r="R188" t="s">
        <v>1667</v>
      </c>
      <c r="S188" t="s">
        <v>1666</v>
      </c>
      <c r="T188" t="s">
        <v>1665</v>
      </c>
      <c r="V188">
        <f t="shared" si="7"/>
        <v>80</v>
      </c>
      <c r="W188">
        <v>20</v>
      </c>
      <c r="X188">
        <v>20</v>
      </c>
      <c r="Y188">
        <v>30</v>
      </c>
      <c r="Z188">
        <v>10</v>
      </c>
    </row>
    <row r="189" spans="1:26" x14ac:dyDescent="0.2">
      <c r="A189" s="2" t="s">
        <v>1621</v>
      </c>
      <c r="B189" t="s">
        <v>206</v>
      </c>
      <c r="C189" t="s">
        <v>1565</v>
      </c>
      <c r="D189" t="s">
        <v>91</v>
      </c>
      <c r="E189" s="8">
        <v>53</v>
      </c>
      <c r="F189">
        <v>78</v>
      </c>
      <c r="G189">
        <v>137</v>
      </c>
      <c r="H189">
        <v>0</v>
      </c>
      <c r="I189">
        <v>85</v>
      </c>
      <c r="J189">
        <v>76</v>
      </c>
      <c r="K189">
        <v>0</v>
      </c>
      <c r="L189" s="1">
        <v>66</v>
      </c>
      <c r="M189">
        <v>32</v>
      </c>
      <c r="N189">
        <v>24</v>
      </c>
      <c r="O189">
        <v>21</v>
      </c>
      <c r="P189">
        <v>3</v>
      </c>
      <c r="Q189">
        <v>0</v>
      </c>
      <c r="R189" t="s">
        <v>227</v>
      </c>
      <c r="S189" t="s">
        <v>226</v>
      </c>
      <c r="T189" t="s">
        <v>230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1622</v>
      </c>
      <c r="B190" t="s">
        <v>206</v>
      </c>
      <c r="C190" t="s">
        <v>1571</v>
      </c>
      <c r="D190" t="s">
        <v>91</v>
      </c>
      <c r="E190" s="8">
        <v>47</v>
      </c>
      <c r="F190">
        <v>78</v>
      </c>
      <c r="G190">
        <v>134</v>
      </c>
      <c r="H190">
        <v>0</v>
      </c>
      <c r="I190">
        <v>80</v>
      </c>
      <c r="J190">
        <v>74</v>
      </c>
      <c r="K190">
        <v>0</v>
      </c>
      <c r="L190" s="1">
        <v>63</v>
      </c>
      <c r="M190">
        <v>29</v>
      </c>
      <c r="N190">
        <v>22</v>
      </c>
      <c r="O190">
        <v>21</v>
      </c>
      <c r="P190">
        <v>3</v>
      </c>
      <c r="Q190">
        <v>0</v>
      </c>
      <c r="R190" t="s">
        <v>227</v>
      </c>
      <c r="S190" t="s">
        <v>226</v>
      </c>
      <c r="T190" t="s">
        <v>230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1623</v>
      </c>
      <c r="B191" t="s">
        <v>206</v>
      </c>
      <c r="C191" t="s">
        <v>1572</v>
      </c>
      <c r="D191" t="s">
        <v>91</v>
      </c>
      <c r="E191" s="8">
        <v>47</v>
      </c>
      <c r="F191">
        <v>78</v>
      </c>
      <c r="G191">
        <v>134</v>
      </c>
      <c r="H191">
        <v>0</v>
      </c>
      <c r="I191">
        <v>80</v>
      </c>
      <c r="J191">
        <v>74</v>
      </c>
      <c r="K191">
        <v>0</v>
      </c>
      <c r="L191" s="1">
        <v>63</v>
      </c>
      <c r="M191">
        <v>29</v>
      </c>
      <c r="N191">
        <v>22</v>
      </c>
      <c r="O191">
        <v>21</v>
      </c>
      <c r="P191">
        <v>3</v>
      </c>
      <c r="Q191">
        <v>0</v>
      </c>
      <c r="R191" t="s">
        <v>227</v>
      </c>
      <c r="S191" t="s">
        <v>226</v>
      </c>
      <c r="T191" t="s">
        <v>230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1624</v>
      </c>
      <c r="B192" t="s">
        <v>203</v>
      </c>
      <c r="C192" t="s">
        <v>1577</v>
      </c>
      <c r="D192" t="s">
        <v>91</v>
      </c>
      <c r="E192" s="8">
        <v>35</v>
      </c>
      <c r="F192">
        <v>27</v>
      </c>
      <c r="G192">
        <v>42</v>
      </c>
      <c r="H192">
        <v>62</v>
      </c>
      <c r="I192">
        <v>18</v>
      </c>
      <c r="J192">
        <v>35</v>
      </c>
      <c r="K192">
        <v>35</v>
      </c>
      <c r="L192" s="1">
        <v>47</v>
      </c>
      <c r="M192">
        <v>49</v>
      </c>
      <c r="N192">
        <v>15</v>
      </c>
      <c r="O192">
        <v>40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1625</v>
      </c>
      <c r="B193" t="s">
        <v>203</v>
      </c>
      <c r="C193" t="s">
        <v>1578</v>
      </c>
      <c r="D193" t="s">
        <v>91</v>
      </c>
      <c r="E193" s="8">
        <v>35</v>
      </c>
      <c r="F193">
        <v>27</v>
      </c>
      <c r="G193">
        <v>42</v>
      </c>
      <c r="H193">
        <v>62</v>
      </c>
      <c r="I193">
        <v>18</v>
      </c>
      <c r="J193">
        <v>35</v>
      </c>
      <c r="K193">
        <v>35</v>
      </c>
      <c r="L193" s="1">
        <v>47</v>
      </c>
      <c r="M193">
        <v>49</v>
      </c>
      <c r="N193">
        <v>15</v>
      </c>
      <c r="O193">
        <v>40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1626</v>
      </c>
      <c r="B194" t="s">
        <v>206</v>
      </c>
      <c r="C194" t="s">
        <v>1579</v>
      </c>
      <c r="D194" t="s">
        <v>91</v>
      </c>
      <c r="E194" s="8">
        <v>17</v>
      </c>
      <c r="F194">
        <v>90</v>
      </c>
      <c r="G194">
        <v>109</v>
      </c>
      <c r="H194">
        <v>0</v>
      </c>
      <c r="I194">
        <v>80</v>
      </c>
      <c r="J194">
        <v>25</v>
      </c>
      <c r="K194">
        <v>0</v>
      </c>
      <c r="L194" s="1">
        <v>48</v>
      </c>
      <c r="M194">
        <v>26</v>
      </c>
      <c r="N194">
        <v>16</v>
      </c>
      <c r="O194">
        <v>30</v>
      </c>
      <c r="P194">
        <v>3</v>
      </c>
      <c r="Q194">
        <v>0</v>
      </c>
      <c r="R194" t="s">
        <v>226</v>
      </c>
      <c r="S194" t="s">
        <v>226</v>
      </c>
      <c r="T194" t="s">
        <v>230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1627</v>
      </c>
      <c r="B195" t="s">
        <v>205</v>
      </c>
      <c r="C195" t="s">
        <v>1580</v>
      </c>
      <c r="D195" t="s">
        <v>91</v>
      </c>
      <c r="E195" s="8">
        <v>15</v>
      </c>
      <c r="F195">
        <v>54</v>
      </c>
      <c r="G195">
        <v>38</v>
      </c>
      <c r="H195">
        <v>20</v>
      </c>
      <c r="I195">
        <v>36</v>
      </c>
      <c r="J195">
        <v>22</v>
      </c>
      <c r="K195">
        <v>0</v>
      </c>
      <c r="L195" s="1">
        <v>44</v>
      </c>
      <c r="M195">
        <v>30</v>
      </c>
      <c r="N195">
        <v>14</v>
      </c>
      <c r="O195">
        <v>32</v>
      </c>
      <c r="P195">
        <v>2</v>
      </c>
      <c r="Q195">
        <v>0</v>
      </c>
      <c r="R195" t="s">
        <v>222</v>
      </c>
      <c r="S195" t="s">
        <v>231</v>
      </c>
      <c r="T195" t="s">
        <v>231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1628</v>
      </c>
      <c r="B196" t="s">
        <v>203</v>
      </c>
      <c r="C196" t="s">
        <v>1581</v>
      </c>
      <c r="D196" t="s">
        <v>91</v>
      </c>
      <c r="E196" s="8">
        <v>5</v>
      </c>
      <c r="F196">
        <v>28</v>
      </c>
      <c r="G196">
        <v>9</v>
      </c>
      <c r="H196">
        <v>24</v>
      </c>
      <c r="I196">
        <v>8</v>
      </c>
      <c r="J196">
        <v>12</v>
      </c>
      <c r="K196">
        <v>21</v>
      </c>
      <c r="L196" s="1">
        <v>32</v>
      </c>
      <c r="M196">
        <v>30</v>
      </c>
      <c r="N196">
        <v>4</v>
      </c>
      <c r="O196">
        <v>35</v>
      </c>
      <c r="P196">
        <v>1</v>
      </c>
      <c r="Q196">
        <v>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1629</v>
      </c>
      <c r="B197" t="s">
        <v>203</v>
      </c>
      <c r="C197" t="s">
        <v>1581</v>
      </c>
      <c r="D197" t="s">
        <v>91</v>
      </c>
      <c r="E197" s="8">
        <v>5</v>
      </c>
      <c r="F197">
        <v>28</v>
      </c>
      <c r="G197">
        <v>9</v>
      </c>
      <c r="H197">
        <v>24</v>
      </c>
      <c r="I197">
        <v>8</v>
      </c>
      <c r="J197">
        <v>12</v>
      </c>
      <c r="K197">
        <v>21</v>
      </c>
      <c r="L197" s="1">
        <v>32</v>
      </c>
      <c r="M197">
        <v>30</v>
      </c>
      <c r="N197">
        <v>4</v>
      </c>
      <c r="O197">
        <v>35</v>
      </c>
      <c r="P197">
        <v>1</v>
      </c>
      <c r="Q197">
        <v>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1630</v>
      </c>
      <c r="B198" t="s">
        <v>203</v>
      </c>
      <c r="C198" t="s">
        <v>1581</v>
      </c>
      <c r="D198" t="s">
        <v>91</v>
      </c>
      <c r="E198" s="8">
        <v>5</v>
      </c>
      <c r="F198">
        <v>28</v>
      </c>
      <c r="G198">
        <v>9</v>
      </c>
      <c r="H198">
        <v>24</v>
      </c>
      <c r="I198">
        <v>8</v>
      </c>
      <c r="J198">
        <v>12</v>
      </c>
      <c r="K198">
        <v>21</v>
      </c>
      <c r="L198" s="1">
        <v>32</v>
      </c>
      <c r="M198">
        <v>30</v>
      </c>
      <c r="N198">
        <v>4</v>
      </c>
      <c r="O198">
        <v>35</v>
      </c>
      <c r="P198">
        <v>1</v>
      </c>
      <c r="Q198">
        <v>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1631</v>
      </c>
      <c r="B199" t="s">
        <v>203</v>
      </c>
      <c r="C199" t="s">
        <v>1581</v>
      </c>
      <c r="D199" t="s">
        <v>91</v>
      </c>
      <c r="E199" s="8">
        <v>5</v>
      </c>
      <c r="F199">
        <v>28</v>
      </c>
      <c r="G199">
        <v>9</v>
      </c>
      <c r="H199">
        <v>24</v>
      </c>
      <c r="I199">
        <v>8</v>
      </c>
      <c r="J199">
        <v>12</v>
      </c>
      <c r="K199">
        <v>21</v>
      </c>
      <c r="L199" s="1">
        <v>32</v>
      </c>
      <c r="M199">
        <v>30</v>
      </c>
      <c r="N199">
        <v>4</v>
      </c>
      <c r="O199">
        <v>35</v>
      </c>
      <c r="P199">
        <v>1</v>
      </c>
      <c r="Q199">
        <v>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1632</v>
      </c>
      <c r="B200" t="s">
        <v>206</v>
      </c>
      <c r="C200" t="s">
        <v>1579</v>
      </c>
      <c r="D200" t="s">
        <v>91</v>
      </c>
      <c r="E200" s="8">
        <v>47</v>
      </c>
      <c r="F200">
        <v>90</v>
      </c>
      <c r="G200">
        <v>132</v>
      </c>
      <c r="H200">
        <v>0</v>
      </c>
      <c r="I200">
        <v>100</v>
      </c>
      <c r="J200">
        <v>40</v>
      </c>
      <c r="K200">
        <v>0</v>
      </c>
      <c r="L200" s="1">
        <v>63</v>
      </c>
      <c r="M200">
        <v>38</v>
      </c>
      <c r="N200">
        <v>41</v>
      </c>
      <c r="O200">
        <v>30</v>
      </c>
      <c r="P200">
        <v>3</v>
      </c>
      <c r="Q200">
        <v>0</v>
      </c>
      <c r="R200" t="s">
        <v>227</v>
      </c>
      <c r="S200" t="s">
        <v>227</v>
      </c>
      <c r="T200" t="s">
        <v>243</v>
      </c>
      <c r="U200" t="s">
        <v>247</v>
      </c>
      <c r="V200">
        <f t="shared" si="7"/>
        <v>12</v>
      </c>
      <c r="W200">
        <v>3</v>
      </c>
      <c r="X200">
        <v>3</v>
      </c>
      <c r="Y200">
        <v>3</v>
      </c>
      <c r="Z200">
        <v>3</v>
      </c>
    </row>
    <row r="201" spans="1:26" x14ac:dyDescent="0.2">
      <c r="A201" s="2" t="s">
        <v>1633</v>
      </c>
      <c r="B201" t="s">
        <v>205</v>
      </c>
      <c r="C201" t="s">
        <v>1580</v>
      </c>
      <c r="D201" t="s">
        <v>91</v>
      </c>
      <c r="E201" s="8">
        <v>44</v>
      </c>
      <c r="F201">
        <v>54</v>
      </c>
      <c r="G201">
        <v>59</v>
      </c>
      <c r="H201">
        <v>0</v>
      </c>
      <c r="I201">
        <v>51</v>
      </c>
      <c r="J201">
        <v>52</v>
      </c>
      <c r="K201">
        <v>0</v>
      </c>
      <c r="L201" s="1">
        <v>59</v>
      </c>
      <c r="M201">
        <v>48</v>
      </c>
      <c r="N201">
        <v>36</v>
      </c>
      <c r="O201">
        <v>32</v>
      </c>
      <c r="P201">
        <v>2</v>
      </c>
      <c r="Q201">
        <v>0</v>
      </c>
      <c r="R201" t="s">
        <v>224</v>
      </c>
      <c r="S201" t="s">
        <v>232</v>
      </c>
      <c r="T201" t="s">
        <v>232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1634</v>
      </c>
      <c r="B202" t="s">
        <v>203</v>
      </c>
      <c r="C202" t="s">
        <v>1581</v>
      </c>
      <c r="D202" t="s">
        <v>91</v>
      </c>
      <c r="E202" s="8">
        <v>35</v>
      </c>
      <c r="F202">
        <v>27</v>
      </c>
      <c r="G202">
        <v>34</v>
      </c>
      <c r="H202">
        <v>64</v>
      </c>
      <c r="I202">
        <v>21</v>
      </c>
      <c r="J202">
        <v>33</v>
      </c>
      <c r="K202">
        <v>36</v>
      </c>
      <c r="L202" s="1">
        <v>47</v>
      </c>
      <c r="M202">
        <v>60</v>
      </c>
      <c r="N202">
        <v>12</v>
      </c>
      <c r="O202">
        <v>40</v>
      </c>
      <c r="P202">
        <v>1</v>
      </c>
      <c r="Q202">
        <v>0</v>
      </c>
      <c r="R202" t="s">
        <v>233</v>
      </c>
      <c r="S202" t="s">
        <v>220</v>
      </c>
      <c r="V202">
        <f t="shared" ref="V202:V229" si="8">SUM(W202:Z202)</f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1635</v>
      </c>
      <c r="B203" t="s">
        <v>203</v>
      </c>
      <c r="C203" t="s">
        <v>1581</v>
      </c>
      <c r="D203" t="s">
        <v>91</v>
      </c>
      <c r="E203" s="8">
        <v>35</v>
      </c>
      <c r="F203">
        <v>27</v>
      </c>
      <c r="G203">
        <v>34</v>
      </c>
      <c r="H203">
        <v>64</v>
      </c>
      <c r="I203">
        <v>21</v>
      </c>
      <c r="J203">
        <v>33</v>
      </c>
      <c r="K203">
        <v>36</v>
      </c>
      <c r="L203" s="1">
        <v>47</v>
      </c>
      <c r="M203">
        <v>60</v>
      </c>
      <c r="N203">
        <v>12</v>
      </c>
      <c r="O203">
        <v>40</v>
      </c>
      <c r="P203">
        <v>1</v>
      </c>
      <c r="Q203">
        <v>0</v>
      </c>
      <c r="R203" t="s">
        <v>233</v>
      </c>
      <c r="S203" t="s">
        <v>220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1636</v>
      </c>
      <c r="B204" t="s">
        <v>208</v>
      </c>
      <c r="C204" t="s">
        <v>1582</v>
      </c>
      <c r="D204" t="s">
        <v>91</v>
      </c>
      <c r="E204" s="8">
        <v>29</v>
      </c>
      <c r="F204">
        <v>27</v>
      </c>
      <c r="G204">
        <v>0</v>
      </c>
      <c r="H204">
        <v>64</v>
      </c>
      <c r="I204">
        <v>21</v>
      </c>
      <c r="J204">
        <v>0</v>
      </c>
      <c r="K204">
        <v>0</v>
      </c>
      <c r="L204" s="1">
        <v>48</v>
      </c>
      <c r="M204">
        <v>5</v>
      </c>
      <c r="N204">
        <v>8</v>
      </c>
      <c r="O204">
        <v>15</v>
      </c>
      <c r="P204">
        <v>1</v>
      </c>
      <c r="Q204">
        <v>0</v>
      </c>
      <c r="R204" t="s">
        <v>233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1637</v>
      </c>
      <c r="B205" t="s">
        <v>208</v>
      </c>
      <c r="C205" t="s">
        <v>1582</v>
      </c>
      <c r="D205" t="s">
        <v>91</v>
      </c>
      <c r="E205" s="8">
        <v>29</v>
      </c>
      <c r="F205">
        <v>27</v>
      </c>
      <c r="G205">
        <v>0</v>
      </c>
      <c r="H205">
        <v>64</v>
      </c>
      <c r="I205">
        <v>21</v>
      </c>
      <c r="J205">
        <v>0</v>
      </c>
      <c r="K205">
        <v>0</v>
      </c>
      <c r="L205" s="1">
        <v>48</v>
      </c>
      <c r="M205">
        <v>5</v>
      </c>
      <c r="N205">
        <v>8</v>
      </c>
      <c r="O205">
        <v>15</v>
      </c>
      <c r="P205">
        <v>1</v>
      </c>
      <c r="Q205">
        <v>0</v>
      </c>
      <c r="R205" t="s">
        <v>233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1638</v>
      </c>
      <c r="B206" t="s">
        <v>90</v>
      </c>
      <c r="C206" t="s">
        <v>1583</v>
      </c>
      <c r="D206" t="s">
        <v>91</v>
      </c>
      <c r="E206" s="8">
        <v>20</v>
      </c>
      <c r="F206">
        <v>32</v>
      </c>
      <c r="G206">
        <v>0</v>
      </c>
      <c r="H206">
        <v>0</v>
      </c>
      <c r="I206">
        <v>19</v>
      </c>
      <c r="J206">
        <v>14</v>
      </c>
      <c r="K206">
        <v>0</v>
      </c>
      <c r="L206" s="1">
        <v>43</v>
      </c>
      <c r="M206">
        <v>28</v>
      </c>
      <c r="N206">
        <v>39</v>
      </c>
      <c r="O206">
        <v>25</v>
      </c>
      <c r="P206">
        <v>1</v>
      </c>
      <c r="Q206">
        <v>0</v>
      </c>
      <c r="R206" t="s">
        <v>1662</v>
      </c>
      <c r="S206" t="s">
        <v>1663</v>
      </c>
      <c r="T206" t="s">
        <v>1664</v>
      </c>
      <c r="V206">
        <f t="shared" si="8"/>
        <v>42</v>
      </c>
      <c r="W206">
        <v>14</v>
      </c>
      <c r="X206">
        <v>16</v>
      </c>
      <c r="Y206">
        <v>12</v>
      </c>
      <c r="Z206">
        <v>0</v>
      </c>
    </row>
    <row r="207" spans="1:26" x14ac:dyDescent="0.2">
      <c r="A207" s="2" t="s">
        <v>1639</v>
      </c>
      <c r="B207" t="s">
        <v>205</v>
      </c>
      <c r="C207" t="s">
        <v>1584</v>
      </c>
      <c r="D207" t="s">
        <v>91</v>
      </c>
      <c r="E207" s="8">
        <v>13</v>
      </c>
      <c r="F207">
        <v>37</v>
      </c>
      <c r="G207">
        <v>38</v>
      </c>
      <c r="H207">
        <v>12</v>
      </c>
      <c r="I207">
        <v>26</v>
      </c>
      <c r="J207">
        <v>16</v>
      </c>
      <c r="K207">
        <v>0</v>
      </c>
      <c r="L207" s="1">
        <v>43</v>
      </c>
      <c r="M207">
        <v>33</v>
      </c>
      <c r="N207">
        <v>11</v>
      </c>
      <c r="O207">
        <v>25</v>
      </c>
      <c r="P207">
        <v>2</v>
      </c>
      <c r="Q207">
        <v>0</v>
      </c>
      <c r="R207" t="s">
        <v>223</v>
      </c>
      <c r="S207" t="s">
        <v>231</v>
      </c>
      <c r="V207">
        <f t="shared" si="8"/>
        <v>0</v>
      </c>
      <c r="W207">
        <v>0</v>
      </c>
      <c r="X207">
        <v>0</v>
      </c>
      <c r="Y207">
        <v>0</v>
      </c>
      <c r="Z207">
        <v>0</v>
      </c>
    </row>
    <row r="208" spans="1:26" x14ac:dyDescent="0.2">
      <c r="A208" s="2" t="s">
        <v>1640</v>
      </c>
      <c r="B208" t="s">
        <v>205</v>
      </c>
      <c r="C208" t="s">
        <v>1585</v>
      </c>
      <c r="D208" t="s">
        <v>91</v>
      </c>
      <c r="E208" s="8">
        <v>13</v>
      </c>
      <c r="F208">
        <v>36</v>
      </c>
      <c r="G208">
        <v>38</v>
      </c>
      <c r="H208">
        <v>12</v>
      </c>
      <c r="I208">
        <v>25</v>
      </c>
      <c r="J208">
        <v>16</v>
      </c>
      <c r="K208">
        <v>0</v>
      </c>
      <c r="L208" s="1">
        <v>43</v>
      </c>
      <c r="M208">
        <v>33</v>
      </c>
      <c r="N208">
        <v>11</v>
      </c>
      <c r="O208">
        <v>25</v>
      </c>
      <c r="P208">
        <v>2</v>
      </c>
      <c r="Q208">
        <v>0</v>
      </c>
      <c r="R208" t="s">
        <v>223</v>
      </c>
      <c r="S208" t="s">
        <v>231</v>
      </c>
      <c r="V208">
        <f t="shared" si="8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1641</v>
      </c>
      <c r="B209" t="s">
        <v>205</v>
      </c>
      <c r="C209" t="s">
        <v>1586</v>
      </c>
      <c r="D209" t="s">
        <v>91</v>
      </c>
      <c r="E209" s="8">
        <v>13</v>
      </c>
      <c r="F209">
        <v>36</v>
      </c>
      <c r="G209">
        <v>38</v>
      </c>
      <c r="H209">
        <v>12</v>
      </c>
      <c r="I209">
        <v>25</v>
      </c>
      <c r="J209">
        <v>16</v>
      </c>
      <c r="K209">
        <v>0</v>
      </c>
      <c r="L209" s="1">
        <v>43</v>
      </c>
      <c r="M209">
        <v>33</v>
      </c>
      <c r="N209">
        <v>11</v>
      </c>
      <c r="O209">
        <v>25</v>
      </c>
      <c r="P209">
        <v>2</v>
      </c>
      <c r="Q209">
        <v>0</v>
      </c>
      <c r="R209" t="s">
        <v>223</v>
      </c>
      <c r="S209" t="s">
        <v>231</v>
      </c>
      <c r="V209">
        <f t="shared" si="8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1642</v>
      </c>
      <c r="B210" t="s">
        <v>205</v>
      </c>
      <c r="C210" t="s">
        <v>1587</v>
      </c>
      <c r="D210" t="s">
        <v>91</v>
      </c>
      <c r="E210" s="8">
        <v>13</v>
      </c>
      <c r="F210">
        <v>37</v>
      </c>
      <c r="G210">
        <v>38</v>
      </c>
      <c r="H210">
        <v>12</v>
      </c>
      <c r="I210">
        <v>36</v>
      </c>
      <c r="J210">
        <v>16</v>
      </c>
      <c r="K210">
        <v>0</v>
      </c>
      <c r="L210" s="1">
        <v>43</v>
      </c>
      <c r="M210">
        <v>33</v>
      </c>
      <c r="N210">
        <v>11</v>
      </c>
      <c r="O210">
        <v>25</v>
      </c>
      <c r="P210">
        <v>2</v>
      </c>
      <c r="Q210">
        <v>0</v>
      </c>
      <c r="R210" t="s">
        <v>223</v>
      </c>
      <c r="S210" t="s">
        <v>231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1643</v>
      </c>
      <c r="B211" t="s">
        <v>203</v>
      </c>
      <c r="C211" t="s">
        <v>1588</v>
      </c>
      <c r="D211" t="s">
        <v>91</v>
      </c>
      <c r="E211" s="8">
        <v>5</v>
      </c>
      <c r="F211">
        <v>15</v>
      </c>
      <c r="G211">
        <v>11</v>
      </c>
      <c r="H211">
        <v>27</v>
      </c>
      <c r="I211">
        <v>5</v>
      </c>
      <c r="J211">
        <v>12</v>
      </c>
      <c r="K211">
        <v>20</v>
      </c>
      <c r="L211" s="1">
        <v>32</v>
      </c>
      <c r="M211">
        <v>41</v>
      </c>
      <c r="N211">
        <v>5</v>
      </c>
      <c r="O211">
        <v>35</v>
      </c>
      <c r="P211">
        <v>1</v>
      </c>
      <c r="Q211">
        <v>0</v>
      </c>
      <c r="R211" t="s">
        <v>219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1644</v>
      </c>
      <c r="B212" t="s">
        <v>21</v>
      </c>
      <c r="C212" t="s">
        <v>1589</v>
      </c>
      <c r="D212" t="s">
        <v>91</v>
      </c>
      <c r="E212" s="8">
        <v>41</v>
      </c>
      <c r="F212">
        <v>62</v>
      </c>
      <c r="G212">
        <v>39</v>
      </c>
      <c r="H212">
        <v>0</v>
      </c>
      <c r="I212">
        <v>49</v>
      </c>
      <c r="J212">
        <v>69</v>
      </c>
      <c r="K212">
        <v>0</v>
      </c>
      <c r="L212" s="1">
        <v>54</v>
      </c>
      <c r="M212">
        <v>47</v>
      </c>
      <c r="N212">
        <v>49</v>
      </c>
      <c r="O212">
        <v>30</v>
      </c>
      <c r="P212">
        <v>2</v>
      </c>
      <c r="Q212">
        <v>0</v>
      </c>
      <c r="R212" t="s">
        <v>1667</v>
      </c>
      <c r="S212" t="s">
        <v>1666</v>
      </c>
      <c r="T212" t="s">
        <v>1665</v>
      </c>
      <c r="V212">
        <f t="shared" si="8"/>
        <v>75</v>
      </c>
      <c r="W212">
        <v>21</v>
      </c>
      <c r="X212">
        <v>21</v>
      </c>
      <c r="Y212">
        <v>21</v>
      </c>
      <c r="Z212">
        <v>12</v>
      </c>
    </row>
    <row r="213" spans="1:26" x14ac:dyDescent="0.2">
      <c r="A213" s="2" t="s">
        <v>1645</v>
      </c>
      <c r="B213" t="s">
        <v>21</v>
      </c>
      <c r="C213" t="s">
        <v>1590</v>
      </c>
      <c r="D213" t="s">
        <v>91</v>
      </c>
      <c r="E213" s="8">
        <v>41</v>
      </c>
      <c r="F213">
        <v>62</v>
      </c>
      <c r="G213">
        <v>39</v>
      </c>
      <c r="H213">
        <v>0</v>
      </c>
      <c r="I213">
        <v>49</v>
      </c>
      <c r="J213">
        <v>69</v>
      </c>
      <c r="K213">
        <v>0</v>
      </c>
      <c r="L213" s="1">
        <v>54</v>
      </c>
      <c r="M213">
        <v>49</v>
      </c>
      <c r="N213">
        <v>49</v>
      </c>
      <c r="O213">
        <v>30</v>
      </c>
      <c r="P213">
        <v>2</v>
      </c>
      <c r="Q213">
        <v>0</v>
      </c>
      <c r="R213" t="s">
        <v>1667</v>
      </c>
      <c r="S213" t="s">
        <v>1666</v>
      </c>
      <c r="T213" t="s">
        <v>1665</v>
      </c>
      <c r="V213">
        <f t="shared" si="8"/>
        <v>75</v>
      </c>
      <c r="W213">
        <v>21</v>
      </c>
      <c r="X213">
        <v>21</v>
      </c>
      <c r="Y213">
        <v>21</v>
      </c>
      <c r="Z213">
        <v>12</v>
      </c>
    </row>
    <row r="214" spans="1:26" x14ac:dyDescent="0.2">
      <c r="A214" s="2" t="s">
        <v>1646</v>
      </c>
      <c r="B214" t="s">
        <v>205</v>
      </c>
      <c r="C214" t="s">
        <v>1591</v>
      </c>
      <c r="D214" t="s">
        <v>91</v>
      </c>
      <c r="E214" s="8">
        <v>44</v>
      </c>
      <c r="F214">
        <v>45</v>
      </c>
      <c r="G214">
        <v>65</v>
      </c>
      <c r="H214">
        <v>59</v>
      </c>
      <c r="I214">
        <v>49</v>
      </c>
      <c r="J214">
        <v>64</v>
      </c>
      <c r="K214">
        <v>0</v>
      </c>
      <c r="L214" s="1">
        <v>59</v>
      </c>
      <c r="M214">
        <v>45</v>
      </c>
      <c r="N214">
        <v>33</v>
      </c>
      <c r="O214">
        <v>30</v>
      </c>
      <c r="P214">
        <v>2</v>
      </c>
      <c r="Q214">
        <v>0</v>
      </c>
      <c r="R214" t="s">
        <v>223</v>
      </c>
      <c r="S214" t="s">
        <v>224</v>
      </c>
      <c r="T214" t="s">
        <v>233</v>
      </c>
      <c r="U214" t="s">
        <v>243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1647</v>
      </c>
      <c r="B215" t="s">
        <v>205</v>
      </c>
      <c r="C215" t="s">
        <v>1592</v>
      </c>
      <c r="D215" t="s">
        <v>91</v>
      </c>
      <c r="E215" s="8">
        <v>44</v>
      </c>
      <c r="F215">
        <v>44</v>
      </c>
      <c r="G215">
        <v>65</v>
      </c>
      <c r="H215">
        <v>49</v>
      </c>
      <c r="I215">
        <v>49</v>
      </c>
      <c r="J215">
        <v>54</v>
      </c>
      <c r="K215">
        <v>0</v>
      </c>
      <c r="L215" s="1">
        <v>59</v>
      </c>
      <c r="M215">
        <v>45</v>
      </c>
      <c r="N215">
        <v>33</v>
      </c>
      <c r="O215">
        <v>30</v>
      </c>
      <c r="P215">
        <v>2</v>
      </c>
      <c r="Q215">
        <v>0</v>
      </c>
      <c r="R215" t="s">
        <v>223</v>
      </c>
      <c r="S215" t="s">
        <v>224</v>
      </c>
      <c r="T215" t="s">
        <v>233</v>
      </c>
      <c r="U215" t="s">
        <v>243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2">
      <c r="A216" s="2" t="s">
        <v>1648</v>
      </c>
      <c r="B216" t="s">
        <v>203</v>
      </c>
      <c r="C216" t="s">
        <v>1593</v>
      </c>
      <c r="D216" t="s">
        <v>91</v>
      </c>
      <c r="E216" s="8">
        <v>35</v>
      </c>
      <c r="F216">
        <v>15</v>
      </c>
      <c r="G216">
        <v>35</v>
      </c>
      <c r="H216">
        <v>69</v>
      </c>
      <c r="I216">
        <v>19</v>
      </c>
      <c r="J216">
        <v>39</v>
      </c>
      <c r="K216">
        <v>35</v>
      </c>
      <c r="L216" s="1">
        <v>47</v>
      </c>
      <c r="M216">
        <v>60</v>
      </c>
      <c r="N216">
        <v>12</v>
      </c>
      <c r="O216">
        <v>40</v>
      </c>
      <c r="P216">
        <v>2</v>
      </c>
      <c r="Q216">
        <v>0</v>
      </c>
      <c r="R216" t="s">
        <v>219</v>
      </c>
      <c r="S216" t="s">
        <v>232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1649</v>
      </c>
      <c r="B217" t="s">
        <v>203</v>
      </c>
      <c r="C217" t="s">
        <v>1594</v>
      </c>
      <c r="D217" t="s">
        <v>91</v>
      </c>
      <c r="E217" s="8">
        <v>35</v>
      </c>
      <c r="F217">
        <v>15</v>
      </c>
      <c r="G217">
        <v>35</v>
      </c>
      <c r="H217">
        <v>69</v>
      </c>
      <c r="I217">
        <v>19</v>
      </c>
      <c r="J217">
        <v>39</v>
      </c>
      <c r="K217">
        <v>35</v>
      </c>
      <c r="L217" s="1">
        <v>47</v>
      </c>
      <c r="M217">
        <v>60</v>
      </c>
      <c r="N217">
        <v>12</v>
      </c>
      <c r="O217">
        <v>40</v>
      </c>
      <c r="P217">
        <v>2</v>
      </c>
      <c r="Q217">
        <v>0</v>
      </c>
      <c r="R217" t="s">
        <v>219</v>
      </c>
      <c r="S217" t="s">
        <v>232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1650</v>
      </c>
      <c r="B218" t="s">
        <v>205</v>
      </c>
      <c r="C218" t="s">
        <v>1595</v>
      </c>
      <c r="D218" t="s">
        <v>91</v>
      </c>
      <c r="E218" s="8">
        <v>21</v>
      </c>
      <c r="F218">
        <v>60</v>
      </c>
      <c r="G218">
        <v>53</v>
      </c>
      <c r="H218">
        <v>24</v>
      </c>
      <c r="I218">
        <v>34</v>
      </c>
      <c r="J218">
        <v>18</v>
      </c>
      <c r="K218">
        <v>0</v>
      </c>
      <c r="L218" s="1">
        <v>47</v>
      </c>
      <c r="M218">
        <v>33</v>
      </c>
      <c r="N218">
        <v>12</v>
      </c>
      <c r="O218">
        <v>25</v>
      </c>
      <c r="P218">
        <v>2</v>
      </c>
      <c r="Q218">
        <v>0</v>
      </c>
      <c r="R218" t="s">
        <v>223</v>
      </c>
      <c r="S218" t="s">
        <v>231</v>
      </c>
      <c r="V218">
        <f t="shared" si="8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2">
      <c r="A219" s="2" t="s">
        <v>1651</v>
      </c>
      <c r="B219" t="s">
        <v>205</v>
      </c>
      <c r="C219" t="s">
        <v>1596</v>
      </c>
      <c r="D219" t="s">
        <v>91</v>
      </c>
      <c r="E219" s="8">
        <v>17</v>
      </c>
      <c r="F219">
        <v>58</v>
      </c>
      <c r="G219">
        <v>47</v>
      </c>
      <c r="H219">
        <v>20</v>
      </c>
      <c r="I219">
        <v>32</v>
      </c>
      <c r="J219">
        <v>16</v>
      </c>
      <c r="K219">
        <v>0</v>
      </c>
      <c r="L219" s="1">
        <v>45</v>
      </c>
      <c r="M219">
        <v>33</v>
      </c>
      <c r="N219">
        <v>11</v>
      </c>
      <c r="O219">
        <v>25</v>
      </c>
      <c r="P219">
        <v>2</v>
      </c>
      <c r="Q219">
        <v>0</v>
      </c>
      <c r="R219" t="s">
        <v>223</v>
      </c>
      <c r="S219" t="s">
        <v>231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1652</v>
      </c>
      <c r="B220" t="s">
        <v>205</v>
      </c>
      <c r="C220" t="s">
        <v>1597</v>
      </c>
      <c r="D220" t="s">
        <v>91</v>
      </c>
      <c r="E220" s="8">
        <v>17</v>
      </c>
      <c r="F220">
        <v>58</v>
      </c>
      <c r="G220">
        <v>47</v>
      </c>
      <c r="H220">
        <v>20</v>
      </c>
      <c r="I220">
        <v>32</v>
      </c>
      <c r="J220">
        <v>16</v>
      </c>
      <c r="K220">
        <v>0</v>
      </c>
      <c r="L220" s="1">
        <v>45</v>
      </c>
      <c r="M220">
        <v>33</v>
      </c>
      <c r="N220">
        <v>11</v>
      </c>
      <c r="O220">
        <v>25</v>
      </c>
      <c r="P220">
        <v>2</v>
      </c>
      <c r="Q220">
        <v>0</v>
      </c>
      <c r="R220" t="s">
        <v>223</v>
      </c>
      <c r="S220" t="s">
        <v>231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1653</v>
      </c>
      <c r="B221" t="s">
        <v>203</v>
      </c>
      <c r="C221" t="s">
        <v>1598</v>
      </c>
      <c r="D221" t="s">
        <v>91</v>
      </c>
      <c r="E221" s="8">
        <v>15</v>
      </c>
      <c r="F221">
        <v>25</v>
      </c>
      <c r="G221">
        <v>11</v>
      </c>
      <c r="H221">
        <v>32</v>
      </c>
      <c r="I221">
        <v>8</v>
      </c>
      <c r="J221">
        <v>12</v>
      </c>
      <c r="K221">
        <v>38</v>
      </c>
      <c r="L221" s="1">
        <v>37</v>
      </c>
      <c r="M221">
        <v>40</v>
      </c>
      <c r="N221">
        <v>12</v>
      </c>
      <c r="O221">
        <v>35</v>
      </c>
      <c r="P221">
        <v>1</v>
      </c>
      <c r="Q221">
        <v>0</v>
      </c>
      <c r="R221" t="s">
        <v>219</v>
      </c>
      <c r="S221" t="s">
        <v>232</v>
      </c>
      <c r="T221" t="s">
        <v>261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1654</v>
      </c>
      <c r="B222" t="s">
        <v>206</v>
      </c>
      <c r="C222" t="s">
        <v>1576</v>
      </c>
      <c r="D222" t="s">
        <v>91</v>
      </c>
      <c r="E222" s="8">
        <v>16</v>
      </c>
      <c r="F222">
        <v>88</v>
      </c>
      <c r="G222">
        <v>110</v>
      </c>
      <c r="H222">
        <v>0</v>
      </c>
      <c r="I222">
        <v>80</v>
      </c>
      <c r="J222">
        <v>25</v>
      </c>
      <c r="K222">
        <v>0</v>
      </c>
      <c r="L222" s="1">
        <v>47</v>
      </c>
      <c r="M222">
        <v>25</v>
      </c>
      <c r="N222">
        <v>14</v>
      </c>
      <c r="O222">
        <v>30</v>
      </c>
      <c r="P222">
        <v>3</v>
      </c>
      <c r="Q222">
        <v>0</v>
      </c>
      <c r="R222" t="s">
        <v>226</v>
      </c>
      <c r="S222" t="s">
        <v>226</v>
      </c>
      <c r="T222" t="s">
        <v>230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1655</v>
      </c>
      <c r="B223" t="s">
        <v>203</v>
      </c>
      <c r="C223" t="s">
        <v>1599</v>
      </c>
      <c r="D223" t="s">
        <v>91</v>
      </c>
      <c r="E223" s="8">
        <v>15</v>
      </c>
      <c r="F223">
        <v>26</v>
      </c>
      <c r="G223">
        <v>13</v>
      </c>
      <c r="H223">
        <v>36</v>
      </c>
      <c r="I223">
        <v>8</v>
      </c>
      <c r="J223">
        <v>12</v>
      </c>
      <c r="K223">
        <v>40</v>
      </c>
      <c r="L223" s="1">
        <v>37</v>
      </c>
      <c r="M223">
        <v>40</v>
      </c>
      <c r="N223">
        <v>12</v>
      </c>
      <c r="O223">
        <v>35</v>
      </c>
      <c r="P223">
        <v>1</v>
      </c>
      <c r="Q223">
        <v>0</v>
      </c>
      <c r="R223" t="s">
        <v>219</v>
      </c>
      <c r="S223" t="s">
        <v>232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1656</v>
      </c>
      <c r="B224" t="s">
        <v>205</v>
      </c>
      <c r="C224" t="s">
        <v>1595</v>
      </c>
      <c r="D224" t="s">
        <v>91</v>
      </c>
      <c r="E224" s="8">
        <v>41</v>
      </c>
      <c r="F224">
        <v>34</v>
      </c>
      <c r="G224">
        <v>41</v>
      </c>
      <c r="H224">
        <v>12</v>
      </c>
      <c r="I224">
        <v>15</v>
      </c>
      <c r="J224">
        <v>54</v>
      </c>
      <c r="K224">
        <v>0</v>
      </c>
      <c r="L224" s="1">
        <v>57</v>
      </c>
      <c r="M224">
        <v>58</v>
      </c>
      <c r="N224">
        <v>33</v>
      </c>
      <c r="O224">
        <v>30</v>
      </c>
      <c r="P224">
        <v>2</v>
      </c>
      <c r="Q224">
        <v>0</v>
      </c>
      <c r="R224" t="s">
        <v>223</v>
      </c>
      <c r="S224" t="s">
        <v>224</v>
      </c>
      <c r="T224" t="s">
        <v>233</v>
      </c>
      <c r="U224" t="s">
        <v>243</v>
      </c>
      <c r="V224">
        <f t="shared" si="8"/>
        <v>12</v>
      </c>
      <c r="W224">
        <v>3</v>
      </c>
      <c r="X224">
        <v>3</v>
      </c>
      <c r="Y224">
        <v>3</v>
      </c>
      <c r="Z224">
        <v>3</v>
      </c>
    </row>
    <row r="225" spans="1:26" x14ac:dyDescent="0.2">
      <c r="A225" s="2" t="s">
        <v>1657</v>
      </c>
      <c r="B225" t="s">
        <v>205</v>
      </c>
      <c r="C225" t="s">
        <v>1596</v>
      </c>
      <c r="D225" t="s">
        <v>91</v>
      </c>
      <c r="E225" s="8">
        <v>40</v>
      </c>
      <c r="F225">
        <v>32</v>
      </c>
      <c r="G225">
        <v>41</v>
      </c>
      <c r="H225">
        <v>12</v>
      </c>
      <c r="I225">
        <v>15</v>
      </c>
      <c r="J225">
        <v>54</v>
      </c>
      <c r="K225">
        <v>0</v>
      </c>
      <c r="L225" s="1">
        <v>57</v>
      </c>
      <c r="M225">
        <v>53</v>
      </c>
      <c r="N225">
        <v>33</v>
      </c>
      <c r="O225">
        <v>30</v>
      </c>
      <c r="P225">
        <v>2</v>
      </c>
      <c r="Q225">
        <v>0</v>
      </c>
      <c r="R225" t="s">
        <v>223</v>
      </c>
      <c r="S225" t="s">
        <v>224</v>
      </c>
      <c r="T225" t="s">
        <v>233</v>
      </c>
      <c r="U225" t="s">
        <v>243</v>
      </c>
      <c r="V225">
        <f t="shared" si="8"/>
        <v>12</v>
      </c>
      <c r="W225">
        <v>3</v>
      </c>
      <c r="X225">
        <v>3</v>
      </c>
      <c r="Y225">
        <v>3</v>
      </c>
      <c r="Z225">
        <v>3</v>
      </c>
    </row>
    <row r="226" spans="1:26" x14ac:dyDescent="0.2">
      <c r="A226" s="2" t="s">
        <v>1658</v>
      </c>
      <c r="B226" t="s">
        <v>205</v>
      </c>
      <c r="C226" t="s">
        <v>1597</v>
      </c>
      <c r="D226" t="s">
        <v>91</v>
      </c>
      <c r="E226" s="8">
        <v>40</v>
      </c>
      <c r="F226">
        <v>32</v>
      </c>
      <c r="G226">
        <v>41</v>
      </c>
      <c r="H226">
        <v>12</v>
      </c>
      <c r="I226">
        <v>15</v>
      </c>
      <c r="J226">
        <v>54</v>
      </c>
      <c r="K226">
        <v>0</v>
      </c>
      <c r="L226" s="1">
        <v>57</v>
      </c>
      <c r="M226">
        <v>53</v>
      </c>
      <c r="N226">
        <v>33</v>
      </c>
      <c r="O226">
        <v>30</v>
      </c>
      <c r="P226">
        <v>2</v>
      </c>
      <c r="Q226">
        <v>0</v>
      </c>
      <c r="R226" t="s">
        <v>223</v>
      </c>
      <c r="S226" t="s">
        <v>224</v>
      </c>
      <c r="T226" t="s">
        <v>233</v>
      </c>
      <c r="U226" t="s">
        <v>243</v>
      </c>
      <c r="V226">
        <f t="shared" si="8"/>
        <v>12</v>
      </c>
      <c r="W226">
        <v>3</v>
      </c>
      <c r="X226">
        <v>3</v>
      </c>
      <c r="Y226">
        <v>3</v>
      </c>
      <c r="Z226">
        <v>3</v>
      </c>
    </row>
    <row r="227" spans="1:26" x14ac:dyDescent="0.2">
      <c r="A227" s="2" t="s">
        <v>1659</v>
      </c>
      <c r="B227" t="s">
        <v>203</v>
      </c>
      <c r="C227" t="s">
        <v>1598</v>
      </c>
      <c r="D227" t="s">
        <v>91</v>
      </c>
      <c r="E227" s="8">
        <v>35</v>
      </c>
      <c r="F227">
        <v>35</v>
      </c>
      <c r="G227">
        <v>24</v>
      </c>
      <c r="H227">
        <v>64</v>
      </c>
      <c r="I227">
        <v>12</v>
      </c>
      <c r="J227">
        <v>32</v>
      </c>
      <c r="K227">
        <v>15</v>
      </c>
      <c r="L227" s="1">
        <v>47</v>
      </c>
      <c r="M227">
        <v>60</v>
      </c>
      <c r="N227">
        <v>12</v>
      </c>
      <c r="O227">
        <v>40</v>
      </c>
      <c r="P227">
        <v>1</v>
      </c>
      <c r="Q227">
        <v>0</v>
      </c>
      <c r="R227" t="s">
        <v>220</v>
      </c>
      <c r="S227" t="s">
        <v>233</v>
      </c>
      <c r="T227" t="s">
        <v>260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1660</v>
      </c>
      <c r="B228" t="s">
        <v>203</v>
      </c>
      <c r="C228" t="s">
        <v>1599</v>
      </c>
      <c r="D228" t="s">
        <v>91</v>
      </c>
      <c r="E228" s="8">
        <v>35</v>
      </c>
      <c r="F228">
        <v>35</v>
      </c>
      <c r="G228">
        <v>24</v>
      </c>
      <c r="H228">
        <v>64</v>
      </c>
      <c r="I228">
        <v>12</v>
      </c>
      <c r="J228">
        <v>32</v>
      </c>
      <c r="K228">
        <v>15</v>
      </c>
      <c r="L228" s="1">
        <v>47</v>
      </c>
      <c r="M228">
        <v>60</v>
      </c>
      <c r="N228">
        <v>12</v>
      </c>
      <c r="O228">
        <v>40</v>
      </c>
      <c r="P228">
        <v>1</v>
      </c>
      <c r="Q228">
        <v>0</v>
      </c>
      <c r="R228" t="s">
        <v>220</v>
      </c>
      <c r="S228" t="s">
        <v>233</v>
      </c>
      <c r="T228" t="s">
        <v>260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1661</v>
      </c>
      <c r="B229" t="s">
        <v>204</v>
      </c>
      <c r="C229" t="s">
        <v>1600</v>
      </c>
      <c r="D229" t="s">
        <v>91</v>
      </c>
      <c r="E229" s="8">
        <v>32</v>
      </c>
      <c r="F229">
        <v>50</v>
      </c>
      <c r="G229">
        <v>43</v>
      </c>
      <c r="H229">
        <v>66</v>
      </c>
      <c r="I229">
        <v>28</v>
      </c>
      <c r="J229">
        <v>28</v>
      </c>
      <c r="K229">
        <v>16</v>
      </c>
      <c r="L229" s="1">
        <v>51</v>
      </c>
      <c r="M229">
        <v>48</v>
      </c>
      <c r="N229">
        <v>20</v>
      </c>
      <c r="O229">
        <v>30</v>
      </c>
      <c r="P229">
        <v>2</v>
      </c>
      <c r="Q229">
        <v>0</v>
      </c>
      <c r="R229" t="s">
        <v>224</v>
      </c>
      <c r="S229" t="s">
        <v>232</v>
      </c>
      <c r="T229" t="s">
        <v>260</v>
      </c>
      <c r="V229">
        <f t="shared" si="8"/>
        <v>6</v>
      </c>
      <c r="W229">
        <v>2</v>
      </c>
      <c r="X229">
        <v>2</v>
      </c>
      <c r="Y229">
        <v>2</v>
      </c>
      <c r="Z229">
        <v>0</v>
      </c>
    </row>
  </sheetData>
  <autoFilter ref="A1:AC221" xr:uid="{00000000-0009-0000-0000-000003000000}">
    <sortState xmlns:xlrd2="http://schemas.microsoft.com/office/spreadsheetml/2017/richdata2" ref="A2:AC229">
      <sortCondition ref="A1:A221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625" bestFit="1" customWidth="1"/>
    <col min="3" max="3" width="19.125" bestFit="1" customWidth="1"/>
    <col min="4" max="4" width="15.12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2496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25" style="22" customWidth="1"/>
    <col min="14" max="17" width="11.125" style="2" customWidth="1"/>
    <col min="18" max="18" width="11.125" style="23" customWidth="1"/>
    <col min="19" max="19" width="9" style="24"/>
    <col min="20" max="25" width="9" style="2"/>
    <col min="26" max="26" width="11.125" style="22" customWidth="1"/>
    <col min="27" max="30" width="11.125" style="2" customWidth="1"/>
    <col min="31" max="31" width="11.125" style="23" customWidth="1"/>
    <col min="32" max="32" width="9" style="24"/>
    <col min="33" max="38" width="9" style="2"/>
    <col min="39" max="39" width="11.125" style="22" customWidth="1"/>
    <col min="40" max="44" width="11.125" style="2" customWidth="1"/>
    <col min="45" max="45" width="9" style="24"/>
  </cols>
  <sheetData>
    <row r="1" spans="1:44" x14ac:dyDescent="0.2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2" t="s">
        <v>2122</v>
      </c>
      <c r="G1" s="40"/>
      <c r="H1" s="40"/>
      <c r="I1" s="40"/>
      <c r="J1" s="40"/>
      <c r="K1" s="40"/>
      <c r="L1" s="40"/>
      <c r="M1" s="39" t="s">
        <v>2123</v>
      </c>
      <c r="N1" s="40"/>
      <c r="O1" s="40"/>
      <c r="P1" s="40"/>
      <c r="Q1" s="40"/>
      <c r="R1" s="41"/>
      <c r="S1" s="42" t="s">
        <v>2124</v>
      </c>
      <c r="T1" s="40"/>
      <c r="U1" s="40"/>
      <c r="V1" s="40"/>
      <c r="W1" s="40"/>
      <c r="X1" s="40"/>
      <c r="Y1" s="40"/>
      <c r="Z1" s="39" t="s">
        <v>2125</v>
      </c>
      <c r="AA1" s="40"/>
      <c r="AB1" s="40"/>
      <c r="AC1" s="40"/>
      <c r="AD1" s="40"/>
      <c r="AE1" s="41"/>
      <c r="AF1" s="42" t="s">
        <v>2126</v>
      </c>
      <c r="AG1" s="40"/>
      <c r="AH1" s="40"/>
      <c r="AI1" s="40"/>
      <c r="AJ1" s="40"/>
      <c r="AK1" s="40"/>
      <c r="AL1" s="40"/>
      <c r="AM1" s="39" t="s">
        <v>2127</v>
      </c>
      <c r="AN1" s="40"/>
      <c r="AO1" s="40"/>
      <c r="AP1" s="40"/>
      <c r="AQ1" s="40"/>
      <c r="AR1" s="41"/>
    </row>
    <row r="2" spans="1:44" x14ac:dyDescent="0.2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1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1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1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1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1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1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1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1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1">
        <v>2</v>
      </c>
      <c r="G11" s="2" t="s">
        <v>359</v>
      </c>
      <c r="H11" s="2" t="s">
        <v>2359</v>
      </c>
      <c r="I11" s="2" t="s">
        <v>2359</v>
      </c>
      <c r="J11" s="2" t="s">
        <v>2360</v>
      </c>
      <c r="K11" s="2" t="s">
        <v>445</v>
      </c>
      <c r="L11" s="2" t="s">
        <v>2361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2362</v>
      </c>
      <c r="B12" s="2" t="s">
        <v>2129</v>
      </c>
      <c r="C12" s="2" t="s">
        <v>2128</v>
      </c>
      <c r="D12" s="3">
        <v>1</v>
      </c>
      <c r="E12" s="3">
        <v>0</v>
      </c>
      <c r="F12" s="21">
        <v>1</v>
      </c>
      <c r="G12" s="2" t="s">
        <v>359</v>
      </c>
      <c r="H12" s="2" t="s">
        <v>347</v>
      </c>
      <c r="I12" s="2" t="s">
        <v>2363</v>
      </c>
      <c r="J12" s="2" t="s">
        <v>465</v>
      </c>
      <c r="K12" s="2" t="s">
        <v>445</v>
      </c>
      <c r="L12" s="2" t="s">
        <v>2360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2361</v>
      </c>
      <c r="B13" s="2" t="s">
        <v>1937</v>
      </c>
      <c r="C13" s="2" t="s">
        <v>2128</v>
      </c>
      <c r="D13" s="3">
        <v>1</v>
      </c>
      <c r="E13" s="3">
        <v>0</v>
      </c>
      <c r="F13" s="21">
        <v>1</v>
      </c>
      <c r="G13" s="2" t="s">
        <v>415</v>
      </c>
      <c r="H13" s="2" t="s">
        <v>347</v>
      </c>
      <c r="I13" s="2" t="s">
        <v>2359</v>
      </c>
      <c r="J13" s="2" t="s">
        <v>2359</v>
      </c>
      <c r="K13" s="2" t="s">
        <v>445</v>
      </c>
      <c r="L13" s="2" t="s">
        <v>2363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2364</v>
      </c>
      <c r="B14" s="2" t="s">
        <v>2152</v>
      </c>
      <c r="C14" s="2" t="s">
        <v>2128</v>
      </c>
      <c r="D14" s="3">
        <v>2</v>
      </c>
      <c r="E14" s="3">
        <v>1</v>
      </c>
      <c r="F14" s="21">
        <v>2</v>
      </c>
      <c r="G14" s="2" t="s">
        <v>359</v>
      </c>
      <c r="H14" s="2" t="s">
        <v>359</v>
      </c>
      <c r="I14" s="2" t="s">
        <v>2365</v>
      </c>
      <c r="J14" s="2" t="s">
        <v>461</v>
      </c>
      <c r="K14" s="2" t="s">
        <v>2360</v>
      </c>
      <c r="L14" s="2" t="s">
        <v>2363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2366</v>
      </c>
      <c r="B15" s="2" t="s">
        <v>70</v>
      </c>
      <c r="C15" s="2" t="s">
        <v>2128</v>
      </c>
      <c r="D15" s="3">
        <v>2</v>
      </c>
      <c r="E15" s="3">
        <v>0</v>
      </c>
      <c r="F15" s="21">
        <v>1</v>
      </c>
      <c r="G15" s="2" t="s">
        <v>359</v>
      </c>
      <c r="H15" s="2" t="s">
        <v>2365</v>
      </c>
      <c r="I15" s="2" t="s">
        <v>347</v>
      </c>
      <c r="J15" s="2" t="s">
        <v>2359</v>
      </c>
      <c r="K15" s="2" t="s">
        <v>2359</v>
      </c>
      <c r="L15" s="2" t="s">
        <v>2360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2367</v>
      </c>
      <c r="B16" s="2" t="s">
        <v>68</v>
      </c>
      <c r="C16" s="2" t="s">
        <v>2128</v>
      </c>
      <c r="D16" s="3">
        <v>2</v>
      </c>
      <c r="E16" s="3">
        <v>0</v>
      </c>
      <c r="F16" s="21">
        <v>2</v>
      </c>
      <c r="G16" s="2" t="s">
        <v>359</v>
      </c>
      <c r="H16" s="2" t="s">
        <v>359</v>
      </c>
      <c r="I16" s="2" t="s">
        <v>2359</v>
      </c>
      <c r="J16" s="2" t="s">
        <v>347</v>
      </c>
      <c r="K16" s="2" t="s">
        <v>2360</v>
      </c>
      <c r="L16" s="2" t="s">
        <v>465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2368</v>
      </c>
      <c r="B17" s="2" t="s">
        <v>2153</v>
      </c>
      <c r="C17" s="2" t="s">
        <v>2128</v>
      </c>
      <c r="D17" s="3">
        <v>3</v>
      </c>
      <c r="E17" s="3">
        <v>0</v>
      </c>
      <c r="F17" s="21">
        <v>1</v>
      </c>
      <c r="G17" s="2" t="s">
        <v>359</v>
      </c>
      <c r="H17" s="2" t="s">
        <v>359</v>
      </c>
      <c r="I17" s="2" t="s">
        <v>359</v>
      </c>
      <c r="J17" s="2" t="s">
        <v>2359</v>
      </c>
      <c r="K17" s="2" t="s">
        <v>2359</v>
      </c>
      <c r="L17" s="2" t="s">
        <v>2363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2369</v>
      </c>
      <c r="B18" s="2" t="s">
        <v>71</v>
      </c>
      <c r="C18" s="2" t="s">
        <v>2370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2371</v>
      </c>
      <c r="B19" s="2" t="s">
        <v>3</v>
      </c>
      <c r="C19" s="2" t="s">
        <v>2370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2372</v>
      </c>
      <c r="B20" s="2" t="s">
        <v>2373</v>
      </c>
      <c r="C20" s="2" t="s">
        <v>2370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2374</v>
      </c>
      <c r="B21" s="2" t="s">
        <v>2375</v>
      </c>
      <c r="C21" s="2" t="s">
        <v>2128</v>
      </c>
      <c r="D21" s="3">
        <v>3</v>
      </c>
      <c r="E21" s="3">
        <v>0</v>
      </c>
      <c r="F21" s="21">
        <v>1</v>
      </c>
      <c r="G21" s="2" t="s">
        <v>359</v>
      </c>
      <c r="H21" s="2" t="s">
        <v>359</v>
      </c>
      <c r="I21" s="2" t="s">
        <v>359</v>
      </c>
      <c r="J21" s="2" t="s">
        <v>2360</v>
      </c>
      <c r="K21" s="2" t="s">
        <v>2360</v>
      </c>
      <c r="L21" s="2" t="s">
        <v>2360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2376</v>
      </c>
      <c r="B22" s="2" t="s">
        <v>2377</v>
      </c>
      <c r="C22" s="2" t="s">
        <v>2128</v>
      </c>
      <c r="D22" s="3">
        <v>3</v>
      </c>
      <c r="E22" s="3">
        <v>0</v>
      </c>
      <c r="F22" s="21">
        <v>1</v>
      </c>
      <c r="G22" s="2" t="s">
        <v>2378</v>
      </c>
      <c r="H22" s="2" t="s">
        <v>2365</v>
      </c>
      <c r="I22" s="2" t="s">
        <v>2365</v>
      </c>
      <c r="J22" s="2" t="s">
        <v>347</v>
      </c>
      <c r="K22" s="2" t="s">
        <v>347</v>
      </c>
      <c r="L22" s="2" t="s">
        <v>2360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2379</v>
      </c>
      <c r="B23" s="2" t="s">
        <v>2380</v>
      </c>
      <c r="C23" s="2" t="s">
        <v>2128</v>
      </c>
      <c r="D23" s="3">
        <v>5</v>
      </c>
      <c r="E23" s="3">
        <v>0</v>
      </c>
      <c r="F23" s="21">
        <v>4</v>
      </c>
      <c r="G23" s="2" t="s">
        <v>2381</v>
      </c>
      <c r="H23" s="2" t="s">
        <v>2298</v>
      </c>
      <c r="I23" s="2" t="s">
        <v>2301</v>
      </c>
      <c r="J23" s="2" t="s">
        <v>2303</v>
      </c>
      <c r="K23" s="2" t="s">
        <v>2382</v>
      </c>
      <c r="L23" s="2" t="s">
        <v>2383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2384</v>
      </c>
      <c r="B24" s="2" t="s">
        <v>2380</v>
      </c>
      <c r="C24" s="2" t="s">
        <v>2128</v>
      </c>
      <c r="D24" s="3">
        <v>5</v>
      </c>
      <c r="E24" s="3">
        <v>0</v>
      </c>
      <c r="F24" s="21">
        <v>4</v>
      </c>
      <c r="G24" s="2" t="s">
        <v>2381</v>
      </c>
      <c r="H24" s="2" t="s">
        <v>2385</v>
      </c>
      <c r="I24" s="2" t="s">
        <v>2301</v>
      </c>
      <c r="J24" s="2" t="s">
        <v>2303</v>
      </c>
      <c r="K24" s="2" t="s">
        <v>2386</v>
      </c>
      <c r="L24" s="2" t="s">
        <v>2383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2387</v>
      </c>
      <c r="B25" s="2" t="s">
        <v>2380</v>
      </c>
      <c r="C25" s="2" t="s">
        <v>2128</v>
      </c>
      <c r="D25" s="3">
        <v>5</v>
      </c>
      <c r="E25" s="3">
        <v>0</v>
      </c>
      <c r="F25" s="21">
        <v>4</v>
      </c>
      <c r="G25" s="2" t="s">
        <v>2381</v>
      </c>
      <c r="H25" s="2" t="s">
        <v>2385</v>
      </c>
      <c r="I25" s="2" t="s">
        <v>2301</v>
      </c>
      <c r="J25" s="2" t="s">
        <v>2303</v>
      </c>
      <c r="K25" s="2" t="s">
        <v>2386</v>
      </c>
      <c r="L25" s="2" t="s">
        <v>2383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2025-10-11T15:54:50Z</dcterms:modified>
</cp:coreProperties>
</file>