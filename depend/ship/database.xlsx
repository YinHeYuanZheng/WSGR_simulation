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527C7661-C1D6-4B4F-AA35-CA5E28F9042C}" xr6:coauthVersionLast="47" xr6:coauthVersionMax="47" xr10:uidLastSave="{00000000-0000-0000-0000-000000000000}"/>
  <bookViews>
    <workbookView xWindow="-33520" yWindow="580" windowWidth="29040" windowHeight="15740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'装备数据-常规'!$A$1:$AA$711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23" i="1" l="1"/>
  <c r="R221" i="1"/>
  <c r="R161" i="1"/>
  <c r="V121" i="2"/>
  <c r="V120" i="2"/>
  <c r="V119" i="2"/>
  <c r="V207" i="2"/>
  <c r="V208" i="2"/>
  <c r="V209" i="2"/>
  <c r="V206" i="2"/>
  <c r="V205" i="2"/>
  <c r="V204" i="2"/>
  <c r="V203" i="2" l="1"/>
  <c r="V202" i="2"/>
  <c r="V201" i="2"/>
  <c r="V200" i="2"/>
  <c r="V199" i="2"/>
  <c r="V198" i="2"/>
  <c r="V197" i="2"/>
  <c r="V196" i="2"/>
  <c r="V195" i="2"/>
  <c r="V194" i="2"/>
  <c r="V193" i="2"/>
  <c r="V192" i="2"/>
  <c r="R209" i="1"/>
  <c r="R210" i="1"/>
  <c r="R211" i="1"/>
  <c r="R212" i="1"/>
  <c r="R213" i="1"/>
  <c r="R214" i="1"/>
  <c r="R215" i="1"/>
  <c r="R216" i="1"/>
  <c r="R217" i="1"/>
  <c r="R218" i="1"/>
  <c r="R219" i="1"/>
  <c r="R220" i="1"/>
  <c r="R222" i="1"/>
  <c r="R64" i="1"/>
  <c r="R143" i="6"/>
  <c r="R145" i="6"/>
  <c r="V107" i="2"/>
  <c r="V190" i="2" l="1"/>
  <c r="V189" i="2"/>
  <c r="V180" i="2"/>
  <c r="V181" i="2"/>
  <c r="V186" i="2"/>
  <c r="V187" i="2"/>
  <c r="V188" i="2"/>
  <c r="V191" i="2"/>
  <c r="V185" i="2"/>
  <c r="V184" i="2"/>
  <c r="V183" i="2"/>
  <c r="V182" i="2"/>
  <c r="R162" i="1"/>
  <c r="R142" i="6"/>
  <c r="R140" i="6"/>
  <c r="R141" i="6"/>
  <c r="V173" i="2"/>
  <c r="V174" i="2"/>
  <c r="V175" i="2"/>
  <c r="V176" i="2"/>
  <c r="V177" i="2"/>
  <c r="V178" i="2"/>
  <c r="V179" i="2"/>
  <c r="V172" i="2" l="1"/>
  <c r="V171" i="2"/>
  <c r="V170" i="2"/>
  <c r="V169" i="2"/>
  <c r="R190" i="1"/>
  <c r="R141" i="1"/>
  <c r="R136" i="1"/>
  <c r="R45" i="1"/>
  <c r="R144" i="6"/>
  <c r="R97" i="6"/>
  <c r="R137" i="6"/>
  <c r="R194" i="1"/>
  <c r="R191" i="1"/>
  <c r="R112" i="1"/>
  <c r="R201" i="1"/>
  <c r="R136" i="6"/>
  <c r="R135" i="6"/>
  <c r="R138" i="6"/>
  <c r="R139" i="6" l="1"/>
  <c r="V106" i="2"/>
  <c r="R206" i="1"/>
  <c r="R173" i="1"/>
  <c r="R167" i="1"/>
  <c r="R165" i="1"/>
  <c r="R159" i="1"/>
  <c r="R157" i="1"/>
  <c r="R134" i="6"/>
  <c r="R133" i="6"/>
  <c r="R132" i="6"/>
  <c r="R131" i="6"/>
  <c r="R130" i="6"/>
  <c r="R44" i="6"/>
  <c r="R20" i="6"/>
  <c r="R19" i="6"/>
  <c r="V168" i="2"/>
  <c r="V167" i="2"/>
  <c r="V166" i="2"/>
  <c r="V165" i="2"/>
  <c r="V164" i="2"/>
  <c r="V163" i="2"/>
  <c r="V162" i="2"/>
  <c r="R151" i="1" l="1"/>
  <c r="R182" i="1"/>
  <c r="R204" i="1"/>
  <c r="R45" i="6"/>
  <c r="R129" i="6"/>
  <c r="V159" i="2"/>
  <c r="V155" i="2"/>
  <c r="V156" i="2"/>
  <c r="V157" i="2"/>
  <c r="V158" i="2"/>
  <c r="V160" i="2"/>
  <c r="V161" i="2"/>
  <c r="R134" i="1" l="1"/>
  <c r="R208" i="1"/>
  <c r="R47" i="6"/>
  <c r="R27" i="6" l="1"/>
  <c r="R128" i="6"/>
  <c r="R181" i="1"/>
  <c r="R185" i="1"/>
  <c r="R51" i="6"/>
  <c r="R17" i="6"/>
  <c r="R49" i="1"/>
  <c r="R48" i="1"/>
  <c r="R200" i="1"/>
  <c r="R19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4" i="2"/>
  <c r="V153" i="2"/>
  <c r="V152" i="2"/>
  <c r="V151" i="2"/>
  <c r="V150" i="2"/>
  <c r="V149" i="2"/>
  <c r="V148" i="2"/>
  <c r="R178" i="1"/>
  <c r="R198" i="1"/>
  <c r="R153" i="1"/>
  <c r="R127" i="6"/>
  <c r="R124" i="6"/>
  <c r="V101" i="2"/>
  <c r="V100" i="2"/>
  <c r="V99" i="2"/>
  <c r="R199" i="1" l="1"/>
  <c r="R166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7" i="2"/>
  <c r="V146" i="2"/>
  <c r="V145" i="2"/>
  <c r="V144" i="2"/>
  <c r="V143" i="2"/>
  <c r="V142" i="2"/>
  <c r="R113" i="6"/>
  <c r="R207" i="1" l="1"/>
  <c r="R122" i="6"/>
  <c r="R121" i="6"/>
  <c r="R112" i="6"/>
  <c r="R116" i="6"/>
  <c r="R117" i="6"/>
  <c r="R205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41" i="2"/>
  <c r="V140" i="2"/>
  <c r="V139" i="2"/>
  <c r="V138" i="2"/>
  <c r="V137" i="2"/>
  <c r="V136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5" i="2" l="1"/>
  <c r="V134" i="2"/>
  <c r="V133" i="2"/>
  <c r="V132" i="2"/>
  <c r="R40" i="1" l="1"/>
  <c r="R39" i="1"/>
  <c r="R66" i="6"/>
  <c r="R131" i="1"/>
  <c r="R132" i="1"/>
  <c r="R133" i="1"/>
  <c r="R171" i="1"/>
  <c r="R172" i="1"/>
  <c r="R174" i="1"/>
  <c r="R188" i="1"/>
  <c r="R195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3" i="1"/>
  <c r="R164" i="1"/>
  <c r="R168" i="1"/>
  <c r="R169" i="1"/>
  <c r="R170" i="1"/>
  <c r="R175" i="1"/>
  <c r="R176" i="1"/>
  <c r="R177" i="1"/>
  <c r="R179" i="1"/>
  <c r="R180" i="1"/>
  <c r="R183" i="1"/>
  <c r="R184" i="1"/>
  <c r="R186" i="1"/>
  <c r="R187" i="1"/>
  <c r="R189" i="1"/>
  <c r="R192" i="1"/>
  <c r="R193" i="1"/>
  <c r="R196" i="1"/>
  <c r="R202" i="1"/>
  <c r="R203" i="1"/>
  <c r="R2" i="1"/>
  <c r="R98" i="6"/>
  <c r="V128" i="2"/>
  <c r="V129" i="2"/>
  <c r="V130" i="2"/>
  <c r="V131" i="2"/>
  <c r="V127" i="2"/>
  <c r="V126" i="2"/>
  <c r="V2" i="2" l="1"/>
  <c r="V122" i="2"/>
  <c r="V123" i="2"/>
  <c r="V124" i="2"/>
  <c r="V125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<sst xmlns="http://schemas.openxmlformats.org/spreadsheetml/2006/main" count="16694" uniqueCount="3103">
  <si>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</si>
  <si>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</si>
  <si>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</si>
  <si>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</si>
  <si>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</si>
  <si>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</si>
  <si>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</si>
  <si>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</si>
  <si>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</si>
  <si>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</si>
  <si>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</si>
  <si>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</si>
  <si>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</si>
  <si>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</si>
  <si>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</si>
  <si>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</si>
  <si>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</si>
  <si>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</si>
  <si>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</si>
  <si>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</si>
  <si>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</si>
  <si>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</si>
  <si>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</si>
  <si>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</si>
  <si>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</si>
  <si>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</si>
  <si>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</si>
  <si>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</si>
  <si>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</si>
  <si>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</si>
  <si>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</si>
  <si>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</si>
  <si>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</si>
  <si>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</si>
  <si>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</si>
  <si>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</si>
  <si>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</si>
  <si>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</si>
  <si>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</si>
  <si>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</si>
  <si>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</si>
  <si>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</si>
  <si>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</si>
  <si>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</si>
  <si>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</si>
  <si>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</si>
  <si>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</si>
  <si>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</si>
  <si>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</si>
  <si>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</si>
  <si>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</si>
  <si>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</si>
  <si>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</si>
  <si>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</si>
  <si>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</si>
  <si>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</si>
  <si>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</si>
  <si>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</si>
  <si>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</si>
  <si>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</si>
  <si>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</si>
  <si>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</si>
  <si>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</si>
  <si>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</si>
  <si>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</si>
  <si>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</si>
  <si>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</si>
  <si>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</si>
  <si>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</si>
  <si>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</si>
  <si>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</si>
  <si>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</si>
  <si>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</si>
  <si>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</si>
  <si>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</si>
  <si>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</si>
  <si>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</si>
  <si>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</si>
  <si>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</si>
  <si>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</si>
  <si>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</si>
  <si>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</si>
  <si>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</si>
  <si>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</si>
  <si>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</si>
  <si>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</si>
  <si>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</si>
  <si>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</si>
  <si>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</si>
  <si>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</si>
  <si>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</si>
  <si>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</si>
  <si>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</si>
  <si>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</si>
  <si>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</si>
  <si>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</si>
  <si>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</si>
  <si>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</si>
  <si>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</si>
  <si>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</si>
  <si>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</si>
  <si>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</si>
  <si>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</si>
  <si>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</si>
  <si>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</si>
  <si>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</si>
  <si>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</si>
  <si>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</si>
  <si>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</si>
  <si>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</si>
  <si>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</si>
  <si>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</si>
  <si>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</si>
  <si>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</si>
  <si>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</si>
  <si>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</si>
  <si>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</si>
  <si>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</si>
  <si>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</si>
  <si>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</si>
  <si>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</si>
  <si>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</si>
  <si>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</si>
  <si>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</si>
  <si>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</si>
  <si>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</si>
  <si>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</si>
  <si>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</si>
  <si>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</si>
  <si>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</si>
  <si>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</si>
  <si>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</si>
  <si>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</si>
  <si>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</si>
  <si>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</si>
  <si>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</si>
  <si>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</si>
  <si>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</si>
  <si>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</si>
  <si>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</si>
  <si>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</si>
  <si>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</si>
  <si>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</si>
  <si>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</si>
  <si>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</si>
  <si>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</si>
  <si>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</si>
  <si>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</si>
  <si>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</si>
  <si>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</si>
  <si>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</si>
  <si>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</si>
  <si>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</si>
  <si>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</si>
  <si>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</si>
  <si>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</si>
  <si>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</si>
  <si>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</si>
  <si>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</si>
  <si>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</si>
  <si>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</si>
  <si>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</si>
  <si>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</si>
  <si>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</si>
  <si>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</si>
  <si>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</si>
  <si>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</si>
  <si>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</si>
  <si>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</si>
  <si>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</si>
  <si>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</si>
  <si>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</si>
  <si>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</si>
  <si>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</si>
  <si>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</si>
  <si>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</si>
  <si>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</si>
  <si>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</si>
  <si>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</si>
  <si>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</si>
  <si>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</si>
  <si>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</si>
  <si>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</si>
  <si>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</si>
  <si>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</si>
  <si>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</si>
  <si>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</si>
  <si>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</si>
  <si>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</si>
  <si>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</si>
  <si>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</si>
  <si>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</si>
  <si>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</si>
  <si>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</si>
  <si>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</si>
  <si>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</si>
  <si>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</si>
  <si>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</si>
  <si>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</si>
  <si>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</si>
  <si>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</si>
  <si>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</si>
  <si>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</si>
  <si>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</si>
  <si>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</si>
  <si>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</si>
  <si>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</si>
  <si>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</si>
  <si>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</si>
  <si>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</si>
  <si>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</si>
  <si>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</si>
  <si>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</si>
  <si>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</si>
  <si>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</si>
  <si>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</si>
  <si>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</si>
  <si>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</si>
  <si>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</si>
  <si>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</si>
  <si>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</si>
  <si>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</si>
  <si>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</si>
  <si>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</si>
  <si>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</si>
  <si>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</si>
  <si>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</si>
  <si>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</si>
  <si>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</si>
  <si>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</si>
  <si>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</si>
  <si>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</si>
  <si>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</si>
  <si>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</si>
  <si>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</si>
  <si>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</si>
  <si>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</si>
  <si>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</si>
  <si>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</si>
  <si>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</si>
  <si>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</si>
  <si>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</si>
  <si>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</si>
  <si>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</si>
  <si>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</si>
  <si>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</si>
  <si>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</si>
  <si>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</si>
  <si>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</si>
  <si>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</si>
  <si>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</si>
  <si>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</si>
  <si>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</si>
  <si>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</si>
  <si>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</si>
  <si>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</si>
  <si>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</si>
  <si>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</si>
  <si>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</si>
  <si>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</si>
  <si>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</si>
  <si>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</si>
  <si>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</si>
  <si>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</si>
  <si>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</si>
  <si>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</si>
  <si>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</si>
  <si>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</si>
  <si>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</si>
  <si>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</si>
  <si>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</si>
  <si>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</si>
  <si>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</si>
  <si>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</si>
  <si>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</si>
  <si>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</si>
  <si>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</si>
  <si>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</si>
  <si>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</si>
  <si>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</si>
  <si>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</si>
  <si>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</si>
  <si>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</si>
  <si>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</si>
  <si>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</si>
  <si>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</si>
  <si>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</si>
  <si>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</si>
  <si>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</si>
  <si>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</si>
  <si>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</si>
  <si>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</si>
  <si>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</si>
  <si>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</si>
  <si>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</si>
  <si>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</si>
  <si>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</si>
  <si>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</si>
  <si>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</si>
  <si>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</si>
  <si>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</si>
  <si>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</si>
  <si>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</si>
  <si>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</si>
  <si>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</si>
  <si>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</si>
  <si>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</si>
  <si>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</si>
  <si>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</si>
  <si>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</si>
  <si>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</si>
  <si>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</si>
  <si>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</si>
  <si>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</si>
  <si>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</si>
  <si>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</si>
  <si>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</si>
  <si>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</si>
  <si>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</si>
  <si>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</si>
  <si>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</si>
  <si>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</si>
  <si>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</si>
  <si>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</si>
  <si>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</si>
  <si>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</si>
  <si>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</si>
  <si>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</si>
  <si>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</si>
  <si>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</si>
  <si>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</si>
  <si>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</si>
  <si>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</si>
  <si>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</si>
  <si>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</si>
  <si>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</si>
  <si>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</si>
  <si>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</si>
  <si>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</si>
  <si>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</si>
  <si>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</si>
  <si>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</si>
  <si>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</si>
  <si>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</si>
  <si>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</si>
  <si>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</si>
  <si>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</si>
  <si>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</si>
  <si>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</si>
  <si>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</si>
  <si>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</si>
  <si>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</si>
  <si>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</si>
  <si>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</si>
  <si>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</si>
  <si>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</si>
  <si>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</si>
  <si>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</si>
  <si>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</si>
  <si>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</si>
  <si>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</si>
  <si>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</si>
  <si>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</si>
  <si>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</si>
  <si>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</si>
  <si>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</si>
  <si>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</si>
  <si>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</si>
  <si>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</si>
  <si>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</si>
  <si>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</si>
  <si>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</si>
  <si>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</si>
  <si>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</si>
  <si>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</si>
  <si>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</si>
  <si>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</si>
  <si>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</si>
  <si>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</si>
  <si>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</si>
  <si>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</si>
  <si>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</si>
  <si>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</si>
  <si>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</si>
  <si>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</si>
  <si>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</si>
  <si>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</si>
  <si>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</si>
  <si>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</si>
  <si>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</si>
  <si>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</si>
  <si>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</si>
  <si>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</si>
  <si>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</si>
  <si>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</si>
  <si>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</si>
  <si>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</si>
  <si>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</si>
  <si>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</si>
  <si>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</si>
  <si>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</si>
  <si>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</si>
  <si>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</si>
  <si>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</si>
  <si>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</si>
  <si>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</si>
  <si>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</si>
  <si>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</si>
  <si>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</si>
  <si>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</si>
  <si>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</si>
  <si>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</si>
  <si>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</si>
  <si>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</si>
  <si>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</si>
  <si>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</si>
  <si>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</si>
  <si>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</si>
  <si>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</si>
  <si>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</si>
  <si>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</si>
  <si>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</si>
  <si>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</si>
  <si>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</si>
  <si>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</si>
  <si>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</si>
  <si>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</si>
  <si>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</si>
  <si>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</si>
  <si>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</si>
  <si>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</si>
  <si>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</si>
  <si>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</si>
  <si>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</si>
  <si>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</si>
  <si>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</si>
  <si>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</si>
  <si>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</si>
  <si>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</si>
  <si>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</si>
  <si>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</si>
  <si>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</si>
  <si>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</si>
  <si>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</si>
  <si>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</si>
  <si>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</si>
  <si>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</si>
  <si>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</si>
  <si>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</si>
  <si>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</si>
  <si>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</si>
  <si>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</si>
  <si>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</si>
  <si>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</si>
  <si>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</si>
  <si>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</si>
  <si>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</si>
  <si>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</si>
  <si>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</si>
  <si>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</si>
  <si>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</si>
  <si>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</si>
  <si>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</si>
  <si>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</si>
  <si>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</si>
  <si>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</si>
  <si>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</si>
  <si>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</si>
  <si>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</si>
  <si>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</si>
  <si>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</si>
  <si>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</si>
  <si>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</si>
  <si>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</si>
  <si>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</si>
  <si>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</si>
  <si>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</si>
  <si>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</si>
  <si>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</si>
  <si>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</si>
  <si>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</si>
  <si>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</si>
  <si>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</si>
  <si>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</si>
  <si>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</si>
  <si>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</si>
  <si>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</si>
  <si>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</si>
  <si>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</si>
  <si>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</si>
  <si>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</si>
  <si>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</si>
  <si>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</si>
  <si>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</si>
  <si>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</si>
  <si>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</si>
  <si>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</si>
  <si>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</si>
  <si>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</si>
  <si>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</si>
  <si>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</si>
  <si>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</si>
  <si>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</si>
  <si>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</si>
  <si>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</si>
  <si>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</si>
  <si>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</si>
  <si>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</si>
  <si>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</si>
  <si>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</si>
  <si>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</si>
  <si>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</si>
  <si>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</si>
  <si>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</si>
  <si>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</si>
  <si>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</si>
  <si>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</si>
  <si>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</si>
  <si>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</si>
  <si>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</si>
  <si>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</si>
  <si>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</si>
  <si>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</si>
  <si>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</si>
  <si>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</si>
  <si>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</si>
  <si>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</si>
  <si>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</si>
  <si>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</si>
  <si>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</si>
  <si>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</si>
  <si>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</si>
  <si>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</si>
  <si>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</si>
  <si>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</si>
  <si>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</si>
  <si>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</si>
  <si>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</si>
  <si>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</si>
  <si>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</si>
  <si>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</si>
  <si>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</si>
  <si>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</si>
  <si>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</si>
  <si>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</si>
  <si>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</si>
  <si>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</si>
  <si>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</si>
  <si>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</si>
  <si>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</si>
  <si>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</si>
  <si>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</si>
  <si>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</si>
  <si>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</si>
  <si>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</si>
  <si>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</si>
  <si>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</si>
  <si>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</si>
  <si>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</si>
  <si>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</si>
  <si>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</si>
  <si>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</si>
  <si>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</si>
  <si>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</si>
  <si>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</si>
  <si>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</si>
  <si>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</si>
  <si>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</si>
  <si>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</si>
  <si>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</si>
  <si>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</si>
  <si>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</si>
  <si>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</si>
  <si>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</si>
  <si>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</si>
  <si>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</si>
  <si>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</si>
  <si>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</si>
  <si>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</si>
  <si>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</si>
  <si>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</si>
  <si>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</si>
  <si>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</si>
  <si>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</si>
  <si>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</si>
  <si>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</si>
  <si>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</si>
  <si>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</si>
  <si>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</si>
  <si>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</si>
  <si>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</si>
  <si>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</si>
  <si>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</si>
  <si>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</si>
  <si>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</si>
  <si>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</si>
  <si>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</si>
  <si>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</si>
  <si>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</si>
  <si>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</si>
  <si>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</si>
  <si>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</si>
  <si>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</si>
  <si>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</si>
  <si>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</si>
  <si>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</si>
  <si>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</si>
  <si>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</si>
  <si>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</si>
  <si>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</si>
  <si>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</si>
  <si>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</si>
  <si>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</si>
  <si>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</si>
  <si>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</si>
  <si>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</si>
  <si>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</si>
  <si>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</si>
  <si>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</si>
  <si>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</si>
  <si>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</si>
  <si>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</si>
  <si>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</si>
  <si>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</si>
  <si>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</si>
  <si>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</si>
  <si>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</si>
  <si>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</si>
  <si>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</si>
  <si>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</si>
  <si>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</si>
  <si>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</si>
  <si>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</si>
  <si>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</si>
  <si>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</si>
  <si>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</si>
  <si>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</si>
  <si>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</si>
  <si>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</si>
  <si>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</si>
  <si>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</si>
  <si>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</si>
  <si>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</si>
  <si>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</si>
  <si>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</si>
  <si>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</si>
  <si>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</si>
  <si>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</si>
  <si>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</si>
  <si>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</si>
  <si>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</si>
  <si>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</si>
  <si>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</si>
  <si>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</si>
  <si>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</si>
  <si>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</si>
  <si>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</si>
  <si>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</si>
  <si>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</si>
  <si>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</si>
  <si>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</si>
  <si>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</si>
  <si>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</si>
  <si>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</si>
  <si>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</si>
  <si>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</si>
  <si>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</si>
  <si>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</si>
  <si>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</si>
  <si>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</si>
  <si>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</si>
  <si>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</si>
  <si>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</si>
  <si>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</si>
  <si>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</si>
  <si>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</si>
  <si>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</si>
  <si>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</si>
  <si>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</si>
  <si>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</si>
  <si>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</si>
  <si>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</si>
  <si>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</si>
  <si>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</si>
  <si>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</si>
  <si>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</si>
  <si>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</si>
  <si>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</si>
  <si>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</si>
  <si>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</si>
  <si>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</si>
  <si>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</si>
  <si>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</si>
  <si>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</si>
  <si>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</si>
  <si>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</si>
  <si>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</si>
  <si>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</si>
  <si>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</si>
  <si>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</si>
  <si>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</si>
  <si>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</si>
  <si>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</si>
  <si>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</si>
  <si>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</si>
  <si>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</si>
  <si>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</si>
  <si>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</si>
  <si>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</si>
  <si>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</si>
  <si>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</si>
  <si>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</si>
  <si>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</si>
  <si>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</si>
  <si>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</si>
  <si>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</si>
  <si>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</si>
  <si>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</si>
  <si>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</si>
  <si>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</si>
  <si>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</si>
  <si>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</si>
  <si>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</si>
  <si>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</si>
  <si>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</si>
  <si>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</si>
  <si>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</si>
  <si>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</si>
  <si>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</si>
  <si>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</si>
  <si>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</si>
  <si>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</si>
  <si>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</si>
  <si>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</si>
  <si>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</si>
  <si>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</si>
  <si>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</si>
  <si>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</si>
  <si>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</si>
  <si>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</si>
  <si>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</si>
  <si>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</si>
  <si>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</si>
  <si>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</si>
  <si>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</si>
  <si>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</si>
  <si>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</si>
  <si>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</si>
  <si>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</si>
  <si>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</si>
  <si>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</si>
  <si>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</si>
  <si>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</si>
  <si>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</si>
  <si>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</si>
  <si>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</si>
  <si>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</si>
  <si>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</si>
  <si>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</si>
  <si>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</si>
  <si>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</si>
  <si>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</si>
  <si>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</si>
  <si>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</si>
  <si>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</si>
  <si>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</si>
  <si>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</si>
  <si>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</si>
  <si>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</si>
  <si>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</si>
  <si>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</si>
  <si>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</si>
  <si>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</si>
  <si>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</si>
  <si>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</si>
  <si>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</si>
  <si>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</si>
  <si>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</si>
  <si>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</si>
  <si>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</si>
  <si>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</si>
  <si>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</si>
  <si>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</si>
  <si>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</si>
  <si>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</si>
  <si>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</si>
  <si>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</si>
  <si>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</si>
  <si>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</si>
  <si>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</si>
  <si>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</si>
  <si>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</si>
  <si>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</si>
  <si>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</si>
  <si>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</si>
  <si>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</si>
  <si>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</si>
  <si>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</si>
  <si>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</si>
  <si>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</si>
  <si>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</si>
  <si>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</si>
  <si>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</si>
  <si>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</si>
  <si>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</si>
  <si>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</si>
  <si>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</si>
  <si>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</si>
  <si>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</si>
  <si>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</si>
  <si>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</si>
  <si>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</si>
  <si>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</si>
  <si>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</si>
  <si>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</si>
  <si>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</si>
  <si>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</si>
  <si>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</si>
  <si>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</si>
  <si>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</si>
  <si>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</si>
  <si>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</si>
  <si>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</si>
  <si>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</si>
  <si>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</si>
  <si>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</si>
  <si>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</si>
  <si>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</si>
  <si>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</si>
  <si>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</si>
  <si>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</si>
  <si>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</si>
  <si>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</si>
  <si>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</si>
  <si>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</si>
  <si>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</si>
  <si>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</si>
  <si>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</si>
  <si>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</si>
  <si>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</si>
  <si>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</si>
  <si>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</si>
  <si>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</si>
  <si>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</si>
  <si>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</si>
  <si>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</si>
  <si>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</si>
  <si>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</si>
  <si>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</si>
  <si>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</si>
  <si>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</si>
  <si>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</si>
  <si>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</si>
  <si>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</si>
  <si>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</si>
  <si>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</si>
  <si>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</si>
  <si>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</si>
  <si>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</si>
  <si>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</si>
  <si>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</si>
  <si>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</si>
  <si>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</si>
  <si>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</si>
  <si>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</si>
  <si>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</si>
  <si>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</si>
  <si>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</si>
  <si>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</si>
  <si>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</si>
  <si>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</si>
  <si>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</si>
  <si>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</si>
  <si>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</si>
  <si>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</si>
  <si>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</si>
  <si>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</si>
  <si>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</si>
  <si>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</si>
  <si>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</si>
  <si>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</si>
  <si>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</si>
  <si>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</si>
  <si>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</si>
  <si>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</si>
  <si>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</si>
  <si>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</si>
  <si>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</si>
  <si>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</si>
  <si>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</si>
  <si>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</si>
  <si>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</si>
  <si>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</si>
  <si>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</si>
  <si>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</si>
  <si>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</si>
  <si>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</si>
  <si>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</si>
  <si>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</si>
  <si>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</si>
  <si>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</si>
  <si>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</si>
  <si>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</si>
  <si>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</si>
  <si>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</si>
  <si>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</si>
  <si>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</si>
  <si>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</si>
  <si>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</si>
  <si>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</si>
  <si>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</si>
  <si>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</si>
  <si>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</si>
  <si>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</si>
  <si>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</si>
  <si>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</si>
  <si>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</si>
  <si>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</si>
  <si>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</si>
  <si>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</si>
  <si>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</si>
  <si>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</si>
  <si>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</si>
  <si>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</si>
  <si>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</si>
  <si>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</si>
  <si>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</si>
  <si>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</si>
  <si>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</si>
  <si>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</si>
  <si>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</si>
  <si>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</si>
  <si>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</si>
  <si>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</si>
  <si>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</si>
  <si>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</si>
  <si>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</si>
  <si>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</si>
  <si>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</si>
  <si>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</si>
  <si>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</si>
  <si>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</si>
  <si>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</si>
  <si>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</si>
  <si>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</si>
  <si>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</si>
  <si>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</si>
  <si>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</si>
  <si>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</si>
  <si>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</si>
  <si>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</si>
  <si>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</si>
  <si>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</si>
  <si>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</si>
  <si>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</si>
  <si>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</si>
  <si>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</si>
  <si>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</si>
  <si>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</si>
  <si>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</si>
  <si>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</si>
  <si>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</si>
  <si>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</si>
  <si>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</si>
  <si>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</si>
  <si>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</si>
  <si>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</si>
  <si>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</si>
  <si>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</si>
  <si>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</si>
  <si>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</si>
  <si>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</si>
  <si>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</si>
  <si>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</si>
  <si>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</si>
  <si>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</si>
  <si>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</si>
  <si>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</si>
  <si>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</si>
  <si>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</si>
  <si>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</si>
  <si>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</si>
  <si>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</si>
  <si>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</si>
  <si>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</si>
  <si>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</si>
  <si>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</si>
  <si>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</si>
  <si>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</si>
  <si>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</si>
  <si>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</si>
  <si>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</si>
  <si>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</si>
  <si>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</si>
  <si>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</si>
  <si>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</si>
  <si>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</si>
  <si>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</si>
  <si>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</si>
  <si>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</si>
  <si>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</si>
  <si>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</si>
  <si>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</si>
  <si>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</si>
  <si>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</si>
  <si>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</si>
  <si>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</si>
  <si>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</si>
  <si>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</si>
  <si>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</si>
  <si>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</si>
  <si>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</si>
  <si>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</si>
  <si>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</si>
  <si>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</si>
  <si>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</si>
  <si>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</si>
  <si>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</si>
  <si>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</si>
  <si>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</si>
  <si>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</si>
  <si>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</si>
  <si>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</si>
  <si>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</si>
  <si>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</si>
  <si>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</si>
  <si>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</si>
  <si>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</si>
  <si>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</si>
  <si>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</si>
  <si>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</si>
  <si>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</si>
  <si>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</si>
  <si>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</si>
  <si>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</si>
  <si>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</si>
  <si>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</si>
  <si>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</si>
  <si>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</si>
  <si>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</si>
  <si>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</si>
  <si>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</si>
  <si>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</si>
  <si>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</si>
  <si>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</si>
  <si>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</si>
  <si>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</si>
  <si>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</si>
  <si>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</si>
  <si>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</si>
  <si>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</si>
  <si>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</si>
  <si>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</si>
  <si>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</si>
  <si>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</si>
  <si>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</si>
  <si>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</si>
  <si>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</si>
  <si>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</si>
  <si>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</si>
  <si>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</si>
  <si>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</si>
  <si>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</si>
  <si>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</si>
  <si>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</si>
  <si>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</si>
  <si>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</si>
  <si>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</si>
  <si>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</si>
  <si>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</si>
  <si>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</si>
  <si>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</si>
  <si>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</si>
  <si>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</si>
  <si>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</si>
  <si>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</si>
  <si>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</si>
  <si>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</si>
  <si>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</si>
  <si>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</si>
  <si>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</si>
  <si>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</si>
  <si>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</si>
  <si>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</si>
  <si>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</si>
  <si>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</si>
  <si>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</si>
  <si>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</si>
  <si>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</si>
  <si>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</si>
  <si>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</si>
  <si>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</si>
  <si>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</si>
  <si>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</si>
  <si>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</si>
  <si>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</si>
  <si>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</si>
  <si>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</si>
  <si>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</si>
  <si>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</si>
  <si>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</si>
  <si>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</si>
  <si>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</si>
  <si>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</si>
  <si>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</si>
  <si>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</si>
  <si>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</si>
  <si>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</si>
  <si>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</si>
  <si>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</si>
  <si>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</si>
  <si>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</si>
  <si>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</si>
  <si>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</si>
  <si>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</si>
  <si>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</si>
  <si>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</si>
  <si>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</si>
  <si>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</si>
  <si>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</si>
  <si>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</si>
  <si>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</si>
  <si>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</si>
  <si>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</si>
  <si>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</si>
  <si>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</si>
  <si>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</si>
  <si>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</si>
  <si>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</si>
  <si>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</si>
  <si>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</si>
  <si>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</si>
  <si>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</si>
  <si>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</si>
  <si>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</si>
  <si>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</si>
  <si>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</si>
  <si>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</si>
  <si>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</si>
  <si>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</si>
  <si>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</si>
  <si>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</si>
  <si>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</si>
  <si>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</si>
  <si>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</si>
  <si>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</si>
  <si>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</si>
  <si>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</si>
  <si>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</si>
  <si>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</si>
  <si>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</si>
  <si>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</si>
  <si>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</si>
  <si>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</si>
  <si>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</si>
  <si>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</si>
  <si>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</si>
  <si>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</si>
  <si>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</si>
  <si>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</si>
  <si>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</si>
  <si>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</si>
  <si>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</si>
  <si>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</si>
  <si>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</si>
  <si>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</si>
  <si>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</si>
  <si>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</si>
  <si>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</si>
  <si>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</si>
  <si>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</si>
  <si>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</si>
  <si>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</si>
  <si>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</si>
  <si>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</si>
  <si>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</si>
  <si>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</si>
  <si>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</si>
  <si>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</si>
  <si>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</si>
  <si>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</si>
  <si>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</si>
  <si>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</si>
  <si>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</si>
  <si>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</si>
  <si>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</si>
  <si>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</si>
  <si>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</si>
  <si>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</si>
  <si>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</si>
  <si>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</si>
  <si>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</si>
  <si>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</si>
  <si>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</si>
  <si>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</si>
  <si>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</si>
  <si>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</si>
  <si>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</si>
  <si>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</si>
  <si>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</si>
  <si>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</si>
  <si>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</si>
  <si>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</si>
  <si>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</si>
  <si>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</si>
  <si>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</si>
  <si>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</si>
  <si>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</si>
  <si>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</si>
  <si>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</si>
  <si>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</si>
  <si>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</si>
  <si>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</si>
  <si>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</si>
  <si>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</si>
  <si>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</si>
  <si>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</si>
  <si>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</si>
  <si>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</si>
  <si>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</si>
  <si>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</si>
  <si>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</si>
  <si>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</si>
  <si>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</si>
  <si>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</si>
  <si>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</si>
  <si>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</si>
  <si>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</si>
  <si>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</si>
  <si>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</si>
  <si>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</si>
  <si>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</si>
  <si>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</si>
  <si>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</si>
  <si>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</si>
  <si>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</si>
  <si>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</si>
  <si>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</si>
  <si>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</si>
  <si>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</si>
  <si>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</si>
  <si>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</si>
  <si>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</si>
  <si>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</si>
  <si>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</si>
  <si>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</si>
  <si>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</si>
  <si>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</si>
  <si>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</si>
  <si>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</si>
  <si>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</si>
  <si>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</si>
  <si>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</si>
  <si>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</si>
  <si>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</si>
  <si>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</si>
  <si>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</si>
  <si>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</si>
  <si>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</si>
  <si>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</si>
  <si>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</si>
  <si>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</si>
  <si>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</si>
  <si>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</si>
  <si>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</si>
  <si>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</si>
  <si>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</si>
  <si>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</si>
  <si>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</si>
  <si>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</si>
  <si>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</si>
  <si>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</si>
  <si>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</si>
  <si>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</si>
  <si>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</si>
  <si>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</si>
  <si>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</si>
  <si>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</si>
  <si>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</si>
  <si>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</si>
  <si>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</si>
  <si>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</si>
  <si>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</si>
  <si>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</si>
  <si>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</si>
  <si>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</si>
  <si>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</si>
  <si>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</si>
  <si>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</si>
  <si>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</si>
  <si>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</si>
  <si>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</si>
  <si>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</si>
  <si>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</si>
  <si>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</si>
  <si>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</si>
  <si>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</si>
  <si>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</si>
  <si>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</si>
  <si>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</si>
  <si>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</si>
  <si>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</si>
  <si>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</si>
  <si>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</si>
  <si>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</si>
  <si>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</si>
  <si>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</si>
  <si>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</si>
  <si>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</si>
  <si>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</si>
  <si>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</si>
  <si>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</si>
  <si>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</si>
  <si>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</si>
  <si>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</si>
  <si>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</si>
  <si>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</si>
  <si>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</si>
  <si>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</si>
  <si>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</si>
  <si>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</si>
  <si>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</si>
  <si>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</si>
  <si>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</si>
  <si>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</si>
  <si>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</si>
  <si>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</si>
  <si>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</si>
  <si>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</si>
  <si>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</si>
  <si>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</si>
  <si>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</si>
  <si>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</si>
  <si>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</si>
  <si>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</si>
  <si>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</si>
  <si>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</si>
  <si>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</si>
  <si>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</si>
  <si>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</si>
  <si>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</si>
  <si>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</si>
  <si>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</si>
  <si>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</si>
  <si>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</si>
  <si>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</si>
  <si>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</si>
  <si>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</si>
  <si>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</si>
  <si>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</si>
  <si>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</si>
  <si>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</si>
  <si>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</si>
  <si>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</si>
  <si>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</si>
  <si>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</si>
  <si>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</si>
  <si>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</si>
  <si>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</si>
  <si>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</si>
  <si>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</si>
  <si>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</si>
  <si>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</si>
  <si>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</si>
  <si>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</si>
  <si>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</si>
  <si>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</si>
  <si>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</si>
  <si>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</si>
  <si>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</si>
  <si>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</si>
  <si>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</si>
  <si>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</si>
  <si>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</si>
  <si>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</si>
  <si>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</si>
  <si>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</si>
  <si>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</si>
  <si>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</si>
  <si>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</si>
  <si>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</si>
  <si>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</si>
  <si>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</si>
  <si>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</si>
  <si>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</si>
  <si>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</si>
  <si>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</si>
  <si>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</si>
  <si>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</si>
  <si>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</si>
  <si>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</si>
  <si>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</si>
  <si>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</si>
  <si>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</si>
  <si>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</si>
  <si>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</si>
  <si>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</si>
  <si>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</si>
  <si>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</si>
  <si>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</si>
  <si>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</si>
  <si>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</si>
  <si>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</si>
  <si>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</si>
  <si>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</si>
  <si>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</si>
  <si>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</si>
  <si>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</si>
  <si>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</si>
  <si>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</si>
  <si>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</si>
  <si>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</si>
  <si>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</si>
  <si>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</si>
  <si>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</si>
  <si>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</si>
  <si>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</si>
  <si>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</si>
  <si>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</si>
  <si>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</si>
  <si>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</si>
  <si>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</si>
  <si>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</si>
  <si>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</si>
  <si>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</si>
  <si>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</si>
  <si>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</si>
  <si>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</si>
  <si>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</si>
  <si>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</si>
  <si>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</si>
  <si>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</si>
  <si>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</si>
  <si>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</si>
  <si>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</si>
  <si>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</si>
  <si>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</si>
  <si>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</si>
  <si>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</si>
  <si>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</si>
  <si>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</si>
  <si>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</si>
  <si>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</si>
  <si>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</si>
  <si>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</si>
  <si>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</si>
  <si>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</si>
  <si>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</si>
  <si>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</si>
  <si>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</si>
  <si>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</si>
  <si>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</si>
  <si>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</si>
  <si>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</si>
  <si>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</si>
  <si>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</si>
  <si>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</si>
  <si>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</si>
  <si>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</si>
  <si>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</si>
  <si>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</si>
  <si>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</si>
  <si>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</si>
  <si>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</si>
  <si>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</si>
  <si>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</si>
  <si>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</si>
  <si>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</si>
  <si>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</si>
  <si>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</si>
  <si>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</si>
  <si>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</si>
  <si>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</si>
  <si>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</si>
  <si>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</si>
  <si>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</si>
  <si>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</si>
  <si>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</si>
  <si>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</si>
  <si>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</si>
  <si>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</si>
  <si>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</si>
  <si>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</si>
  <si>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</si>
  <si>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</si>
  <si>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</si>
  <si>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</si>
  <si>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</si>
  <si>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</si>
  <si>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</si>
  <si>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</si>
  <si>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</si>
  <si>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</si>
  <si>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</si>
  <si>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</si>
  <si>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</si>
  <si>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</si>
  <si>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</si>
  <si>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</si>
  <si>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</si>
  <si>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</si>
  <si>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</si>
  <si>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</si>
  <si>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</si>
  <si>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</si>
  <si>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</si>
  <si>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</si>
  <si>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</si>
  <si>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</si>
  <si>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</si>
  <si>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</si>
  <si>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</si>
  <si>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</si>
  <si>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</si>
  <si>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</si>
  <si>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</si>
  <si>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</si>
  <si>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</si>
  <si>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</si>
  <si>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</si>
  <si>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</si>
  <si>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</si>
  <si>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</si>
  <si>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</si>
  <si>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</si>
  <si>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</si>
  <si>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</si>
  <si>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</si>
  <si>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</si>
  <si>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</si>
  <si>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</si>
  <si>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</si>
  <si>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</si>
  <si>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</si>
  <si>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</si>
  <si>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</si>
  <si>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</si>
  <si>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</si>
  <si>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</si>
  <si>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</si>
  <si>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</si>
  <si>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</si>
  <si>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</si>
  <si>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</si>
  <si>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</si>
  <si>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</si>
  <si>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</si>
  <si>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</si>
  <si>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</si>
  <si>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</si>
  <si>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</si>
  <si>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</si>
  <si>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</si>
  <si>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</si>
  <si>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</si>
  <si>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</si>
  <si>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</si>
  <si>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</si>
  <si>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</si>
  <si>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</si>
  <si>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</si>
  <si>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</si>
  <si>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</si>
  <si>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</si>
  <si>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</si>
  <si>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</si>
  <si>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</si>
  <si>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</si>
  <si>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</si>
  <si>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</si>
  <si>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</si>
  <si>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</si>
  <si>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</si>
  <si>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</si>
  <si>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</si>
  <si>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</si>
  <si>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</si>
  <si>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</si>
  <si>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</si>
  <si>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</si>
  <si>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</si>
  <si>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</si>
  <si>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</si>
  <si>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</si>
  <si>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</si>
  <si>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</si>
  <si>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</si>
  <si>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</si>
  <si>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</si>
  <si>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</si>
  <si>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</si>
  <si>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</si>
  <si>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</si>
  <si>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</si>
  <si>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</si>
  <si>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</si>
  <si>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</si>
  <si>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</si>
  <si>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</si>
  <si>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</si>
  <si>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</si>
  <si>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</si>
  <si>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</si>
  <si>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</si>
  <si>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</si>
  <si>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</si>
  <si>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</si>
  <si>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</si>
  <si>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</si>
  <si>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</si>
  <si>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</si>
  <si>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</si>
  <si>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</si>
  <si>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</si>
  <si>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</si>
  <si>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</si>
  <si>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</si>
  <si>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</si>
  <si>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</si>
  <si>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</si>
  <si>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</si>
  <si>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</si>
  <si>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</si>
  <si>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</si>
  <si>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</si>
  <si>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</si>
  <si>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</si>
  <si>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</si>
  <si>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</si>
  <si>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</si>
  <si>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</si>
  <si>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</si>
  <si>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</si>
  <si>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</si>
  <si>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</si>
  <si>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</si>
  <si>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</si>
  <si>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</si>
  <si>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</si>
  <si>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</si>
  <si>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</si>
  <si>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</si>
  <si>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</si>
  <si>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</si>
  <si>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</si>
  <si>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</si>
  <si>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</si>
  <si>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</si>
  <si>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</si>
  <si>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</si>
  <si>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</si>
  <si>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</si>
  <si>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</si>
  <si>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</si>
  <si>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</si>
  <si>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</si>
  <si>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</si>
  <si>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</si>
  <si>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</si>
  <si>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</si>
  <si>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</si>
  <si>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</si>
  <si>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</si>
  <si>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</si>
  <si>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</si>
  <si>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</si>
  <si>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</si>
  <si>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</si>
  <si>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</si>
  <si>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</si>
  <si>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</si>
  <si>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</si>
  <si>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</si>
  <si>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</si>
  <si>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</si>
  <si>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</si>
  <si>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</si>
  <si>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</si>
  <si>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</si>
  <si>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</si>
  <si>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</si>
  <si>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</si>
  <si>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</si>
  <si>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</si>
  <si>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</si>
  <si>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</si>
  <si>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</si>
  <si>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</si>
  <si>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</si>
  <si>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</si>
  <si>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</si>
  <si>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</si>
  <si>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</si>
  <si>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</si>
  <si>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</si>
  <si>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</si>
  <si>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</si>
  <si>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</si>
  <si>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</si>
  <si>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</si>
  <si>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</si>
  <si>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</si>
  <si>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</si>
  <si>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</si>
  <si>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</si>
  <si>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</si>
  <si>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</si>
  <si>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</si>
  <si>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</si>
  <si>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</si>
  <si>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</si>
  <si>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</si>
  <si>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</si>
  <si>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</si>
  <si>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</si>
  <si>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</si>
  <si>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</si>
  <si>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</si>
  <si>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</si>
  <si>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</si>
  <si>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</si>
  <si>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</si>
  <si>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</si>
  <si>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</si>
  <si>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</si>
  <si>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</si>
  <si>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</si>
  <si>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</si>
  <si>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</si>
  <si>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</si>
  <si>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</si>
  <si>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</si>
  <si>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</si>
  <si>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</si>
  <si>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</si>
  <si>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</si>
  <si>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</si>
  <si>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</si>
  <si>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</si>
  <si>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</si>
  <si>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</si>
  <si>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</si>
  <si>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</si>
  <si>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</si>
  <si>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</si>
  <si>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</si>
  <si>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</si>
  <si>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</si>
  <si>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</si>
  <si>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</si>
  <si>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</si>
  <si>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</si>
  <si>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</si>
  <si>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</si>
  <si>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</si>
  <si>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</si>
  <si>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</si>
  <si>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</si>
  <si>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</si>
  <si>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</si>
  <si>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</si>
  <si>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</si>
  <si>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</si>
  <si>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</si>
  <si>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</si>
  <si>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</si>
  <si>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</si>
  <si>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</si>
  <si>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</si>
  <si>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</si>
  <si>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</si>
  <si>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</si>
  <si>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</si>
  <si>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</si>
  <si>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</si>
  <si>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</si>
  <si>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</si>
  <si>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</si>
  <si>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</si>
  <si>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</si>
  <si>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</si>
  <si>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</si>
  <si>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</si>
  <si>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</si>
  <si>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</si>
  <si>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</si>
  <si>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</si>
  <si>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</si>
  <si>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</si>
  <si>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</si>
  <si>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</si>
  <si>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</si>
  <si>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</si>
  <si>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</si>
  <si>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</si>
  <si>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</si>
  <si>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</si>
  <si>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</si>
  <si>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</si>
  <si>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</si>
  <si>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</si>
  <si>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</si>
  <si>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</si>
  <si>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</si>
  <si>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</si>
  <si>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</si>
  <si>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</si>
  <si>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</si>
  <si>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</si>
  <si>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</si>
  <si>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</si>
  <si>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</si>
  <si>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</si>
  <si>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</si>
  <si>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</si>
  <si>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</si>
  <si>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</si>
  <si>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</si>
  <si>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</si>
  <si>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</si>
  <si>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</si>
  <si>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</si>
  <si>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</si>
  <si>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</si>
  <si>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</si>
  <si>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</si>
  <si>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</si>
  <si>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</si>
  <si>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</si>
  <si>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</si>
  <si>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</si>
  <si>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</si>
  <si>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</si>
  <si>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</si>
  <si>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</si>
  <si>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</si>
  <si>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</si>
  <si>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</si>
  <si>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</si>
  <si>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</si>
  <si>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</si>
  <si>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</si>
  <si>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</si>
  <si>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</si>
  <si>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</si>
  <si>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</si>
  <si>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</si>
  <si>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</si>
  <si>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</si>
  <si>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</si>
  <si>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</si>
  <si>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</si>
  <si>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</si>
  <si>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</si>
  <si>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</si>
  <si>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</si>
  <si>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</si>
  <si>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</si>
  <si>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</si>
  <si>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</si>
  <si>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</si>
  <si>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</si>
  <si>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</si>
  <si>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</si>
  <si>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</si>
  <si>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</si>
  <si>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</si>
  <si>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</si>
  <si>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</si>
  <si>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</si>
  <si>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</si>
  <si>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</si>
  <si>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</si>
  <si>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</si>
  <si>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</si>
  <si>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</si>
  <si>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</si>
  <si>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</si>
  <si>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</si>
  <si>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</si>
  <si>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</si>
  <si>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</si>
  <si>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</si>
  <si>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</si>
  <si>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</si>
  <si>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</si>
  <si>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</si>
  <si>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</si>
  <si>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</si>
  <si>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</si>
  <si>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</si>
  <si>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</si>
  <si>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</si>
  <si>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</si>
  <si>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</si>
  <si>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</si>
  <si>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</si>
  <si>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</si>
  <si>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</si>
  <si>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</si>
  <si>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</si>
  <si>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</si>
  <si>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</si>
  <si>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</si>
  <si>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</si>
  <si>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</si>
  <si>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</si>
  <si>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</si>
  <si>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</si>
  <si>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</si>
  <si>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</si>
  <si>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</si>
  <si>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</si>
  <si>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</si>
  <si>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</si>
  <si>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</si>
  <si>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</si>
  <si>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</si>
  <si>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</si>
  <si>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</si>
  <si>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</si>
  <si>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</si>
  <si>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</si>
  <si>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</si>
  <si>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</si>
  <si>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</si>
  <si>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</si>
  <si>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</si>
  <si>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</si>
  <si>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</si>
  <si>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</si>
  <si>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</si>
  <si>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</si>
  <si>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</si>
  <si>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</si>
  <si>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</si>
  <si>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</si>
  <si>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</si>
  <si>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</si>
  <si>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</si>
  <si>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</si>
  <si>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</si>
  <si>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</si>
  <si>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</si>
  <si>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</si>
  <si>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</si>
  <si>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</si>
  <si>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</si>
  <si>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</si>
  <si>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</si>
  <si>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</si>
  <si>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</si>
  <si>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</si>
  <si>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</si>
  <si>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</si>
  <si>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</si>
  <si>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</si>
  <si>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</si>
  <si>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</si>
  <si>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</si>
  <si>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</si>
  <si>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</si>
  <si>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</si>
  <si>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</si>
  <si>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</si>
  <si>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</si>
  <si>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</si>
  <si>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</si>
  <si>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</si>
  <si>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</si>
  <si>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</si>
  <si>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</si>
  <si>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</si>
  <si>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</si>
  <si>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</si>
  <si>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</si>
  <si>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</si>
  <si>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</si>
  <si>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</si>
  <si>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</si>
  <si>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</si>
  <si>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</si>
  <si>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</si>
  <si>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</si>
  <si>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</si>
  <si>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</si>
  <si>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</si>
  <si>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</si>
  <si>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</si>
  <si>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</si>
  <si>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</si>
  <si>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</si>
  <si>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</si>
  <si>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</si>
  <si>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</si>
  <si>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</si>
  <si>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</si>
  <si>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</si>
  <si>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</si>
  <si>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</si>
  <si>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</si>
  <si>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</si>
  <si>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</si>
  <si>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</si>
  <si>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</si>
  <si>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</si>
  <si>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</si>
  <si>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</si>
  <si>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</si>
  <si>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</si>
  <si>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</si>
  <si>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</si>
  <si>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</si>
  <si>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</si>
  <si>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</si>
  <si>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</si>
  <si>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</si>
  <si>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</si>
  <si>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</si>
  <si>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</si>
  <si>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</si>
  <si>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</si>
  <si>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</si>
  <si>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</si>
  <si>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</si>
  <si>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</si>
  <si>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</si>
  <si>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</si>
  <si>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</si>
  <si>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</si>
  <si>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</si>
  <si>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</si>
  <si>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</si>
  <si>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</si>
  <si>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</si>
  <si>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</si>
  <si>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</si>
  <si>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</si>
  <si>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</si>
  <si>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</si>
  <si>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</si>
  <si>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</si>
  <si>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</si>
  <si>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</si>
  <si>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</si>
  <si>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</si>
  <si>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</si>
  <si>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</si>
  <si>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</si>
  <si>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</si>
  <si>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</si>
  <si>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</si>
  <si>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</si>
  <si>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</si>
  <si>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</si>
  <si>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</si>
  <si>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</si>
  <si>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</si>
  <si>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</si>
  <si>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</si>
  <si>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</si>
  <si>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</si>
  <si>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</si>
  <si>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</si>
  <si>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</si>
  <si>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</si>
  <si>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</si>
  <si>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</si>
  <si>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</si>
  <si>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</si>
  <si>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</si>
  <si>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</si>
  <si>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</si>
  <si>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</si>
  <si>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</si>
  <si>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</si>
  <si>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</si>
  <si>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</si>
  <si>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</si>
  <si>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</si>
  <si>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</si>
  <si>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</si>
  <si>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</si>
  <si>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</si>
  <si>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</si>
  <si>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</si>
  <si>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</si>
  <si>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</si>
  <si>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</si>
  <si>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</si>
  <si>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</si>
  <si>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</si>
  <si>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</si>
  <si>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</si>
  <si>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</si>
  <si>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</si>
  <si>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</si>
  <si>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</si>
  <si>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</si>
  <si>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</si>
  <si>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</si>
  <si>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</si>
  <si>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</si>
  <si>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</si>
  <si>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</si>
  <si>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</si>
  <si>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</si>
  <si>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</si>
  <si>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</si>
  <si>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</si>
  <si>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</si>
  <si>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</si>
  <si>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</si>
  <si>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</si>
  <si>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</si>
  <si>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</si>
  <si>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</si>
  <si>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</si>
  <si>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</si>
  <si>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</si>
  <si>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</si>
  <si>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</si>
  <si>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</si>
  <si>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</si>
  <si>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</si>
  <si>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</si>
  <si>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</si>
  <si>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</si>
  <si>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</si>
  <si>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</si>
  <si>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</si>
  <si>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</si>
  <si>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</si>
  <si>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</si>
  <si>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</si>
  <si>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</si>
  <si>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</si>
  <si>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</si>
  <si>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</si>
  <si>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</si>
  <si>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</si>
  <si>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</si>
  <si>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</si>
  <si>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</si>
  <si>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</si>
  <si>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</si>
  <si>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</si>
  <si>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</si>
  <si>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</si>
  <si>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</si>
  <si>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</si>
  <si>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</si>
  <si>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</si>
  <si>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</si>
  <si>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</si>
  <si>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</si>
  <si>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</si>
  <si>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</si>
  <si>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</si>
  <si>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</si>
  <si>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</si>
  <si>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</si>
  <si>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</si>
  <si>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</si>
  <si>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</si>
  <si>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</si>
  <si>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</si>
  <si>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</si>
  <si>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</si>
  <si>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</si>
  <si>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</si>
  <si>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</si>
  <si>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</si>
  <si>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</si>
  <si>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</si>
  <si>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</si>
  <si>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</si>
  <si>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</si>
  <si>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</si>
  <si>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</si>
  <si>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</si>
  <si>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</si>
  <si>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</si>
  <si>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</si>
  <si>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</si>
  <si>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</si>
  <si>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</si>
  <si>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</si>
  <si>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</si>
  <si>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</si>
  <si>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</si>
  <si>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</si>
  <si>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</si>
  <si>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</si>
  <si>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</si>
  <si>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</si>
  <si>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</si>
  <si>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</si>
  <si>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</si>
  <si>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</si>
  <si>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</si>
  <si>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</si>
  <si>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</si>
  <si>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</si>
  <si>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</si>
  <si>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</si>
  <si>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</si>
  <si>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</si>
  <si>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</si>
  <si>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</si>
  <si>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</si>
  <si>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</si>
  <si>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</si>
  <si>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</si>
  <si>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</si>
  <si>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</si>
  <si>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</si>
  <si>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</si>
  <si>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</si>
  <si>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</si>
  <si>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</si>
  <si>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</si>
  <si>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</si>
  <si>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</si>
  <si>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</si>
  <si>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</si>
  <si>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</si>
  <si>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</si>
  <si>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</si>
  <si>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</si>
  <si>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</si>
  <si>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</si>
  <si>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</si>
  <si>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</si>
  <si>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</si>
  <si>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</si>
  <si>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</si>
  <si>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</si>
  <si>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</si>
  <si>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</si>
  <si>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</si>
  <si>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</si>
  <si>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</si>
  <si>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</si>
  <si>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</si>
  <si>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</si>
  <si>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</si>
  <si>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</si>
  <si>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</si>
  <si>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</si>
  <si>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</si>
  <si>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</si>
  <si>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</si>
  <si>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</si>
  <si>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</si>
  <si>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</si>
  <si>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</si>
  <si>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</si>
  <si>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</si>
  <si>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</si>
  <si>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</si>
  <si>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</si>
  <si>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</si>
  <si>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</si>
  <si>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</si>
  <si>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</si>
  <si>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</si>
  <si>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</si>
  <si>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</si>
  <si>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</si>
  <si>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</si>
  <si>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</si>
  <si>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</si>
  <si>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</si>
  <si>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</si>
  <si>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</si>
  <si>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</si>
  <si>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</si>
  <si>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</si>
  <si>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</si>
  <si>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</si>
  <si>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</si>
  <si>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</si>
  <si>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</si>
  <si>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</si>
  <si>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</si>
  <si>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</si>
  <si>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</si>
  <si>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</si>
  <si>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</si>
  <si>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</si>
  <si>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</si>
  <si>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</si>
  <si>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</si>
  <si>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</si>
  <si>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</si>
  <si>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</si>
  <si>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</si>
  <si>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</si>
  <si>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</si>
  <si>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</si>
  <si>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</si>
  <si>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</si>
  <si>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</si>
  <si>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</si>
  <si>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</si>
  <si>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</si>
  <si>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</si>
  <si>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</si>
  <si>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</si>
  <si>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</si>
  <si>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</si>
  <si>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</si>
  <si>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</si>
  <si>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</si>
  <si>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</si>
  <si>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</si>
  <si>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</si>
  <si>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</si>
  <si>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</si>
  <si>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</si>
  <si>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</si>
  <si>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</si>
  <si>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</si>
  <si>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</si>
  <si>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</si>
  <si>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</si>
  <si>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</si>
  <si>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</si>
  <si>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</si>
  <si>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</si>
  <si>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</si>
  <si>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</si>
  <si>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</si>
  <si>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MK37火控雷达</t>
    <phoneticPr fontId="2" type="noConversion"/>
  </si>
  <si>
    <t>降低敌方航空战阶段10%命中率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</si>
  <si>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</si>
  <si>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</si>
  <si>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</si>
  <si>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</si>
  <si>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</si>
  <si>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</si>
  <si>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</si>
  <si>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</si>
  <si>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</si>
  <si>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</si>
  <si>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</si>
  <si>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</si>
  <si>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</si>
  <si>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</si>
  <si>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</si>
  <si>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</si>
  <si>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</si>
  <si>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</si>
  <si>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</si>
  <si>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</si>
  <si>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</si>
  <si>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</si>
  <si>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</si>
  <si>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</si>
  <si>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</si>
  <si>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</si>
  <si>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</si>
  <si>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</si>
  <si>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</si>
  <si>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</si>
  <si>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</si>
  <si>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</si>
  <si>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</si>
  <si>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</si>
  <si>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</si>
  <si>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</si>
  <si>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</si>
  <si>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</si>
  <si>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</si>
  <si>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</si>
  <si>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</si>
  <si>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</si>
  <si>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</si>
  <si>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</si>
  <si>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</si>
  <si>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</si>
  <si>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</si>
  <si>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</si>
  <si>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</si>
  <si>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</si>
  <si>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</si>
  <si>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</si>
  <si>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</si>
  <si>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</si>
  <si>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</si>
  <si>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</si>
  <si>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</si>
  <si>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</si>
  <si>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</si>
  <si>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</si>
  <si>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</si>
  <si>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</si>
  <si>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</si>
  <si>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</si>
  <si>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</si>
  <si>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</si>
  <si>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</si>
  <si>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</si>
  <si>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</si>
  <si>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</si>
  <si>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</si>
  <si>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</si>
  <si>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</si>
  <si>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</si>
  <si>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</si>
  <si>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</si>
  <si>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</si>
  <si>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</si>
  <si>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</si>
  <si>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</si>
  <si>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</si>
  <si>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</si>
  <si>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</si>
  <si>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</si>
  <si>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</si>
  <si>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</si>
  <si>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</si>
  <si>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</si>
  <si>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</si>
  <si>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</si>
  <si>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</si>
  <si>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</si>
  <si>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</si>
  <si>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</si>
  <si>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</si>
  <si>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</si>
  <si>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</si>
  <si>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</si>
  <si>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</si>
  <si>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</si>
  <si>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</si>
  <si>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</si>
  <si>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</si>
  <si>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</si>
  <si>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</si>
  <si>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</si>
  <si>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</si>
  <si>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</si>
  <si>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</si>
  <si>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</si>
  <si>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</si>
  <si>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</si>
  <si>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</si>
  <si>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</si>
  <si>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</si>
  <si>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</si>
  <si>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</si>
  <si>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</si>
  <si>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</si>
  <si>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</si>
  <si>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</si>
  <si>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</si>
  <si>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</si>
  <si>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</si>
  <si>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</si>
  <si>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</si>
  <si>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</si>
  <si>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</si>
  <si>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</si>
  <si>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</si>
  <si>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</si>
  <si>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</si>
  <si>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</si>
  <si>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</si>
  <si>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</si>
  <si>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</si>
  <si>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</si>
  <si>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</si>
  <si>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</si>
  <si>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</si>
  <si>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</si>
  <si>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</si>
  <si>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</si>
  <si>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</si>
  <si>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</si>
  <si>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</si>
  <si>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</si>
  <si>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</si>
  <si>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</si>
  <si>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</si>
  <si>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</si>
  <si>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</si>
  <si>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</si>
  <si>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</si>
  <si>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</si>
  <si>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</si>
  <si>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</si>
  <si>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</si>
  <si>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</si>
  <si>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</si>
  <si>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</si>
  <si>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</si>
  <si>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</si>
  <si>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</si>
  <si>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</si>
  <si>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</si>
  <si>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</si>
  <si>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</si>
  <si>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</si>
  <si>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</si>
  <si>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</si>
  <si>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</si>
  <si>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</si>
  <si>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</si>
  <si>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</si>
  <si>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</si>
  <si>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</si>
  <si>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</si>
  <si>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</si>
  <si>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</si>
  <si>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</si>
  <si>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</si>
  <si>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</si>
  <si>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</si>
  <si>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</si>
  <si>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</si>
  <si>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</si>
  <si>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</si>
  <si>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</si>
  <si>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</si>
  <si>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</si>
  <si>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</si>
  <si>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</si>
  <si>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</si>
  <si>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</si>
  <si>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</si>
  <si>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</si>
  <si>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</si>
  <si>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</si>
  <si>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</si>
  <si>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</si>
  <si>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</si>
  <si>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</si>
  <si>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</si>
  <si>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</si>
  <si>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</si>
  <si>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</si>
  <si>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</si>
  <si>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</si>
  <si>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</si>
  <si>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</si>
  <si>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</si>
  <si>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</si>
  <si>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</si>
  <si>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</si>
  <si>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</si>
  <si>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</si>
  <si>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</si>
  <si>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</si>
  <si>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</si>
  <si>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</si>
  <si>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</si>
  <si>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</si>
  <si>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</si>
  <si>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</si>
  <si>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</si>
  <si>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</si>
  <si>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</si>
  <si>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</si>
  <si>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</si>
  <si>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</si>
  <si>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</si>
  <si>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</si>
  <si>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</si>
  <si>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</si>
  <si>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</si>
  <si>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</si>
  <si>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</si>
  <si>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</si>
  <si>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</si>
  <si>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</si>
  <si>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</si>
  <si>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</si>
  <si>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</si>
  <si>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</si>
  <si>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</si>
  <si>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</si>
  <si>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</si>
  <si>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</si>
  <si>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</si>
  <si>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</si>
  <si>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</si>
  <si>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</si>
  <si>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</si>
  <si>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</si>
  <si>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</si>
  <si>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</si>
  <si>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</si>
  <si>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</si>
  <si>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</si>
  <si>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</si>
  <si>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</si>
  <si>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</si>
  <si>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</si>
  <si>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</si>
  <si>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</si>
  <si>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</si>
  <si>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</si>
  <si>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</si>
  <si>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</si>
  <si>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</si>
  <si>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</si>
  <si>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</si>
  <si>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</si>
  <si>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</si>
  <si>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</si>
  <si>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</si>
  <si>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</si>
  <si>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</si>
  <si>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</si>
  <si>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</si>
  <si>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</si>
  <si>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</si>
  <si>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</si>
  <si>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</si>
  <si>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</si>
  <si>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</si>
  <si>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</si>
  <si>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</si>
  <si>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</si>
  <si>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</si>
  <si>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</si>
  <si>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</si>
  <si>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</si>
  <si>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</si>
  <si>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</si>
  <si>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</si>
  <si>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</si>
  <si>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</si>
  <si>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</si>
  <si>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</si>
  <si>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</si>
  <si>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</si>
  <si>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</si>
  <si>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</si>
  <si>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</si>
  <si>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</si>
  <si>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</si>
  <si>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</si>
  <si>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</si>
  <si>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</si>
  <si>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</si>
  <si>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</si>
  <si>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</si>
  <si>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</si>
  <si>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</si>
  <si>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</si>
  <si>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</si>
  <si>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</si>
  <si>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</si>
  <si>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</si>
  <si>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</si>
  <si>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</si>
  <si>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</si>
  <si>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</si>
  <si>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</si>
  <si>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</si>
  <si>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</si>
  <si>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</si>
  <si>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</si>
  <si>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</si>
  <si>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</si>
  <si>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</si>
  <si>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</si>
  <si>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</si>
  <si>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</si>
  <si>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</si>
  <si>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</si>
  <si>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</si>
  <si>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</si>
  <si>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</si>
  <si>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</si>
  <si>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</si>
  <si>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</si>
  <si>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</si>
  <si>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</si>
  <si>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</si>
  <si>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</si>
  <si>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</si>
  <si>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</si>
  <si>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</si>
  <si>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</si>
  <si>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</si>
  <si>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</si>
  <si>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</si>
  <si>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</si>
  <si>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</si>
  <si>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</si>
  <si>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</si>
  <si>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</si>
  <si>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</si>
  <si>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</si>
  <si>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</si>
  <si>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</si>
  <si>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</si>
  <si>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</si>
  <si>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</si>
  <si>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</si>
  <si>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</si>
  <si>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</si>
  <si>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</si>
  <si>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</si>
  <si>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</si>
  <si>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</si>
  <si>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</si>
  <si>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</si>
  <si>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</si>
  <si>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</si>
  <si>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</si>
  <si>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</si>
  <si>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</si>
  <si>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</si>
  <si>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</si>
  <si>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</si>
  <si>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</si>
  <si>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</si>
  <si>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</si>
  <si>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</si>
  <si>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</si>
  <si>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</si>
  <si>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</si>
  <si>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</si>
  <si>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</si>
  <si>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</si>
  <si>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</si>
  <si>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</si>
  <si>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</si>
  <si>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</si>
  <si>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</si>
  <si>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</si>
  <si>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</si>
  <si>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</si>
  <si>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</si>
  <si>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</si>
  <si>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</si>
  <si>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</si>
  <si>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</si>
  <si>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</si>
  <si>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双联20英寸主炮（34）</t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</si>
  <si>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</si>
  <si>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</si>
  <si>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</si>
  <si>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</si>
  <si>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</si>
  <si>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</si>
  <si>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九四式三联四十六厘米主炮（MU方位盘）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</si>
  <si>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</si>
  <si>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</si>
  <si>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</si>
  <si>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</si>
  <si>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</si>
  <si>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</si>
  <si>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</si>
  <si>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</si>
  <si>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</si>
  <si>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</si>
  <si>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AK-630（MR-123）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</si>
  <si>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</si>
  <si>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</si>
  <si>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</si>
  <si>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</si>
  <si>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</si>
  <si>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</si>
  <si>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</si>
  <si>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</si>
  <si>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</si>
  <si>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</si>
  <si>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</si>
  <si>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</si>
  <si>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</si>
  <si>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</si>
  <si>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</si>
  <si>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</si>
  <si>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</si>
  <si>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</si>
  <si>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</si>
  <si>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</si>
  <si>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</si>
  <si>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</si>
  <si>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</si>
  <si>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</si>
  <si>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</si>
  <si>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</si>
  <si>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</si>
  <si>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</si>
  <si>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</si>
  <si>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</si>
  <si>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</si>
  <si>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</si>
  <si>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</si>
  <si>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</si>
  <si>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</si>
  <si>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</si>
  <si>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</si>
  <si>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</si>
  <si>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</si>
  <si>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</si>
  <si>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</si>
  <si>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</si>
  <si>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</si>
  <si>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</si>
  <si>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</si>
  <si>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</si>
  <si>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</si>
  <si>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</si>
  <si>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</si>
  <si>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</si>
  <si>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</si>
  <si>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</si>
  <si>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</si>
  <si>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</si>
  <si>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</si>
  <si>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“飞鱼”反舰导弹</t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</si>
  <si>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</si>
  <si>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</si>
  <si>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</si>
  <si>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</si>
  <si>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</si>
  <si>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</si>
  <si>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</si>
  <si>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</si>
  <si>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</si>
  <si>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</si>
  <si>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</si>
  <si>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</si>
  <si>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</si>
  <si>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</si>
  <si>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</si>
  <si>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</si>
  <si>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</si>
  <si>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</si>
  <si>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</si>
  <si>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</si>
  <si>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</si>
  <si>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</si>
  <si>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</si>
  <si>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</si>
  <si>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</si>
  <si>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</si>
  <si>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</si>
  <si>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</si>
  <si>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</si>
  <si>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</si>
  <si>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</si>
  <si>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</si>
  <si>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</si>
  <si>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</si>
  <si>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</si>
  <si>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</si>
  <si>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</si>
  <si>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</si>
  <si>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</si>
  <si>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</si>
  <si>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</si>
  <si>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</si>
  <si>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</si>
  <si>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</si>
  <si>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</si>
  <si>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</si>
  <si>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</si>
  <si>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</si>
  <si>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</si>
  <si>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</si>
  <si>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</si>
  <si>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</si>
  <si>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</si>
  <si>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</si>
  <si>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</si>
  <si>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</si>
  <si>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10745</t>
  </si>
  <si>
    <t>BR.1050“贸易风”</t>
  </si>
  <si>
    <t>007,008</t>
  </si>
  <si>
    <t>0.15,0.2</t>
  </si>
  <si>
    <t>01101</t>
  </si>
  <si>
    <t>01102</t>
  </si>
  <si>
    <t>01103</t>
  </si>
  <si>
    <t>01104</t>
  </si>
  <si>
    <t>01105</t>
  </si>
  <si>
    <t>漫长的胜利E9M</t>
    <phoneticPr fontId="2" type="noConversion"/>
  </si>
  <si>
    <t>AV</t>
    <phoneticPr fontId="2" type="noConversion"/>
  </si>
  <si>
    <t>Enemy</t>
    <phoneticPr fontId="2" type="noConversion"/>
  </si>
  <si>
    <t>CV</t>
    <phoneticPr fontId="2" type="noConversion"/>
  </si>
  <si>
    <t>BC</t>
    <phoneticPr fontId="2" type="noConversion"/>
  </si>
  <si>
    <t>CL</t>
    <phoneticPr fontId="2" type="noConversion"/>
  </si>
  <si>
    <t>Shōkaku</t>
  </si>
  <si>
    <t>Shinano</t>
  </si>
  <si>
    <t>B-65</t>
  </si>
  <si>
    <t>美洲狮式战斗机</t>
  </si>
  <si>
    <t>B-25(杜立特队)</t>
    <phoneticPr fontId="2" type="noConversion"/>
  </si>
  <si>
    <t>改良型声纳</t>
    <phoneticPr fontId="2" type="noConversion"/>
  </si>
  <si>
    <t>01106</t>
  </si>
  <si>
    <t>01107</t>
  </si>
  <si>
    <t>01108</t>
  </si>
  <si>
    <t>01109</t>
  </si>
  <si>
    <t>01110</t>
  </si>
  <si>
    <t>01111</t>
  </si>
  <si>
    <t>111</t>
    <phoneticPr fontId="2" type="noConversion"/>
  </si>
  <si>
    <t>BB</t>
    <phoneticPr fontId="2" type="noConversion"/>
  </si>
  <si>
    <t>AV</t>
    <phoneticPr fontId="2" type="noConversion"/>
  </si>
  <si>
    <t>DD</t>
    <phoneticPr fontId="2" type="noConversion"/>
  </si>
  <si>
    <t>BC</t>
    <phoneticPr fontId="2" type="noConversion"/>
  </si>
  <si>
    <t>漫长的胜利E11P</t>
    <phoneticPr fontId="2" type="noConversion"/>
  </si>
  <si>
    <t>Osaki</t>
    <phoneticPr fontId="2" type="noConversion"/>
  </si>
  <si>
    <t>Shinano</t>
    <phoneticPr fontId="2" type="noConversion"/>
  </si>
  <si>
    <t>Cyou-yamato</t>
    <phoneticPr fontId="2" type="noConversion"/>
  </si>
  <si>
    <t>Ushio</t>
    <phoneticPr fontId="2" type="noConversion"/>
  </si>
  <si>
    <t>B-65</t>
    <phoneticPr fontId="2" type="noConversion"/>
  </si>
  <si>
    <t>美洲狮式战斗机</t>
    <phoneticPr fontId="2" type="noConversion"/>
  </si>
  <si>
    <t>B-25(杜立特队)</t>
    <phoneticPr fontId="2" type="noConversion"/>
  </si>
  <si>
    <t>刺猬弹深弹投射器</t>
    <phoneticPr fontId="2" type="noConversion"/>
  </si>
  <si>
    <t>Kukulkan</t>
  </si>
  <si>
    <t>Oni Samurai</t>
  </si>
  <si>
    <t>Yamato</t>
    <phoneticPr fontId="2" type="noConversion"/>
  </si>
  <si>
    <t>Abyss Yamato</t>
  </si>
  <si>
    <t>漫长的胜利E12Q</t>
    <phoneticPr fontId="2" type="noConversion"/>
  </si>
  <si>
    <t>Fortness</t>
    <phoneticPr fontId="2" type="noConversion"/>
  </si>
  <si>
    <t>01094</t>
  </si>
  <si>
    <t>01095</t>
  </si>
  <si>
    <t>01096</t>
  </si>
  <si>
    <t>01097</t>
  </si>
  <si>
    <t>01098</t>
  </si>
  <si>
    <t>01099</t>
  </si>
  <si>
    <t>01100</t>
  </si>
  <si>
    <t>五联鱼雷发射器（53-65）</t>
    <phoneticPr fontId="2" type="noConversion"/>
  </si>
  <si>
    <t>鱼雷</t>
    <phoneticPr fontId="2" type="noConversion"/>
  </si>
  <si>
    <t>747</t>
    <phoneticPr fontId="2" type="noConversion"/>
  </si>
  <si>
    <t>S国舰船装备时增加20%暴击率和10%攻击威力</t>
    <phoneticPr fontId="2" type="noConversion"/>
  </si>
  <si>
    <t>10748</t>
  </si>
  <si>
    <t>SAET-60鱼雷（潜射）</t>
    <phoneticPr fontId="2" type="noConversion"/>
  </si>
  <si>
    <t>023,009</t>
    <phoneticPr fontId="2" type="noConversion"/>
  </si>
  <si>
    <t>0.1,0.15</t>
    <phoneticPr fontId="2" type="noConversion"/>
  </si>
  <si>
    <t>增加10%暴击率和15%攻击威力</t>
    <phoneticPr fontId="2" type="noConversion"/>
  </si>
  <si>
    <t>青-6水上飞机</t>
    <phoneticPr fontId="2" type="noConversion"/>
  </si>
  <si>
    <t>增加15%命中率和20%伤害</t>
    <phoneticPr fontId="2" type="noConversion"/>
  </si>
  <si>
    <t>增加15%命中率</t>
    <phoneticPr fontId="2" type="noConversion"/>
  </si>
  <si>
    <t>增加20%命中率和10%伤害</t>
    <phoneticPr fontId="2" type="noConversion"/>
  </si>
  <si>
    <t>0.2,0.1</t>
    <phoneticPr fontId="2" type="noConversion"/>
  </si>
  <si>
    <t>10750</t>
  </si>
  <si>
    <t>10751</t>
  </si>
  <si>
    <t>TBF(VT-8)</t>
    <phoneticPr fontId="2" type="noConversion"/>
  </si>
  <si>
    <t>“白蛉”反舰导弹</t>
    <phoneticPr fontId="2" type="noConversion"/>
  </si>
  <si>
    <t>750</t>
    <phoneticPr fontId="2" type="noConversion"/>
  </si>
  <si>
    <t>751</t>
    <phoneticPr fontId="2" type="noConversion"/>
  </si>
  <si>
    <t>增加10%护甲穿透(同类弹药效果只生效一个)，S国舰船装备时提高15%伤害</t>
    <phoneticPr fontId="2" type="noConversion"/>
  </si>
  <si>
    <t>增加15%护甲穿透(同类弹药效果只生效一个)，S国舰船装备时战斗中额外增加5%护甲穿透</t>
    <phoneticPr fontId="2" type="noConversion"/>
  </si>
  <si>
    <t>航空战阶段增加8%鱼雷机攻击威力，萨拉托加装备时额外增加12%攻击威力</t>
    <phoneticPr fontId="2" type="noConversion"/>
  </si>
  <si>
    <t>MK42型5英寸舰炮</t>
  </si>
  <si>
    <t>10536</t>
  </si>
  <si>
    <t>双联20厘米炮(AH)</t>
  </si>
  <si>
    <t>Fighter</t>
  </si>
  <si>
    <t>ЯК-9战斗机</t>
  </si>
  <si>
    <t>10538</t>
  </si>
  <si>
    <t>10539</t>
  </si>
  <si>
    <t>P2V(AUM)</t>
  </si>
  <si>
    <t>10542</t>
  </si>
  <si>
    <t>舰载干扰弹系统</t>
  </si>
  <si>
    <t>风火轮</t>
  </si>
  <si>
    <t>Bomber</t>
  </si>
  <si>
    <t>空中海盗攻击机(vb)</t>
  </si>
  <si>
    <t>F6U</t>
  </si>
  <si>
    <t>海鸥式反潜机</t>
  </si>
  <si>
    <t>海毒牙MK32</t>
  </si>
  <si>
    <t>IA-58攻击机</t>
  </si>
  <si>
    <t>10544</t>
  </si>
  <si>
    <t>10545</t>
  </si>
  <si>
    <t>10546</t>
  </si>
  <si>
    <t>10547</t>
  </si>
  <si>
    <t>10548</t>
  </si>
  <si>
    <t>10549</t>
  </si>
  <si>
    <t>10550</t>
  </si>
  <si>
    <t>Torpedo</t>
  </si>
  <si>
    <t>五联轻型鱼雷</t>
  </si>
  <si>
    <t>潜用声纳</t>
  </si>
  <si>
    <t>10553</t>
  </si>
  <si>
    <t>10554</t>
  </si>
  <si>
    <t>柯蒂斯F15C</t>
  </si>
  <si>
    <t>F4F(奥黑尔)</t>
  </si>
  <si>
    <t>РБУ-1000反潜深弹</t>
  </si>
  <si>
    <t>AM-1拳击手(t)</t>
  </si>
  <si>
    <t>10556</t>
  </si>
  <si>
    <t>10557</t>
  </si>
  <si>
    <t>10558</t>
  </si>
  <si>
    <t>10559</t>
  </si>
  <si>
    <t>A-1</t>
  </si>
  <si>
    <t>10561</t>
  </si>
  <si>
    <t>干扰弹发射器</t>
  </si>
  <si>
    <t>单装试制30厘米炮</t>
  </si>
  <si>
    <t>10565</t>
  </si>
  <si>
    <t>10566</t>
  </si>
  <si>
    <t>自卫系统(潜用)</t>
  </si>
  <si>
    <t>Nord1500攻击机</t>
  </si>
  <si>
    <t>双联41厘米炮(演习)</t>
  </si>
  <si>
    <t>梭鱼攻击机(720kg)</t>
  </si>
  <si>
    <t>增加15%护甲穿透(同类弹药效果只生效一个)；铝耗5</t>
  </si>
  <si>
    <t>E国三联9.2寸主炮</t>
  </si>
  <si>
    <t>H-34G反潜直升机</t>
  </si>
  <si>
    <t>61厘米鱼雷发射器(9)</t>
  </si>
  <si>
    <t>BTD-1毁灭者(2000磅)</t>
  </si>
  <si>
    <t>VG.90战斗机</t>
  </si>
  <si>
    <t>10568</t>
  </si>
  <si>
    <t>10569</t>
  </si>
  <si>
    <t>10570</t>
  </si>
  <si>
    <t>10571</t>
  </si>
  <si>
    <t>10572</t>
  </si>
  <si>
    <t>10573</t>
  </si>
  <si>
    <t>10574</t>
  </si>
  <si>
    <t>10575</t>
  </si>
  <si>
    <t>10576</t>
  </si>
  <si>
    <t>双联30厘米炮(k)</t>
  </si>
  <si>
    <t>10578</t>
  </si>
  <si>
    <t>100毫米速射炮(G)</t>
  </si>
  <si>
    <t>10589</t>
  </si>
  <si>
    <t>双联15英寸主炮(RP12)</t>
  </si>
  <si>
    <t>战斗结束获得经验增加9%(装备之间不叠加)</t>
  </si>
  <si>
    <t>10591</t>
  </si>
  <si>
    <t>79式双联100毫米主炮</t>
  </si>
  <si>
    <t>对空补正25%；对空倍率2.7</t>
  </si>
  <si>
    <t>10599</t>
  </si>
  <si>
    <t>海鹰战斗机</t>
  </si>
  <si>
    <t>10607</t>
  </si>
  <si>
    <t>10609</t>
  </si>
  <si>
    <t>双联5英寸炮(F)</t>
  </si>
  <si>
    <t>XA-32</t>
  </si>
  <si>
    <t>E国双联5英寸炮</t>
  </si>
  <si>
    <t>对空补正50%；对空倍率2.7</t>
  </si>
  <si>
    <t>三联14英寸主炮(弹射器)</t>
  </si>
  <si>
    <t>XTB2F</t>
  </si>
  <si>
    <t>喷火战斗机(酒桶)</t>
  </si>
  <si>
    <t>装备时，远征获得的资源增加10%；铝耗4</t>
  </si>
  <si>
    <t>10617</t>
  </si>
  <si>
    <t>10618</t>
  </si>
  <si>
    <t>10619</t>
  </si>
  <si>
    <t>10620</t>
  </si>
  <si>
    <t>10621</t>
  </si>
  <si>
    <t>10622</t>
  </si>
  <si>
    <t>10623</t>
  </si>
  <si>
    <t>10624</t>
  </si>
  <si>
    <t>马拉丰反潜导弹系统</t>
  </si>
  <si>
    <t>F2R</t>
  </si>
  <si>
    <t>10627</t>
  </si>
  <si>
    <t>10628</t>
  </si>
  <si>
    <t>10629</t>
  </si>
  <si>
    <t>六一式舰炮</t>
  </si>
  <si>
    <t>战斗结算获得经验增加10%；对空补正55%；对空倍率3</t>
  </si>
  <si>
    <t>10639</t>
  </si>
  <si>
    <t>TA-4教练机</t>
  </si>
  <si>
    <t>战斗结算获得经验增加10%；列克星敦(CV-16)装备时战斗结算获得经验额外增加5%；铝耗6</t>
  </si>
  <si>
    <t>卡-25反潜直升机</t>
  </si>
  <si>
    <t>10663</t>
  </si>
  <si>
    <t>10664</t>
  </si>
  <si>
    <t>ZIF-92单装舰炮</t>
  </si>
  <si>
    <t>对空补正50%；对空倍率4.5</t>
  </si>
  <si>
    <t>F4U-1(122)</t>
  </si>
  <si>
    <t>CH-37通用直升机</t>
  </si>
  <si>
    <t>装备时，远征获得的资源增加10%；铝耗5</t>
  </si>
  <si>
    <t>特制16英寸三联主炮(1058)</t>
  </si>
  <si>
    <t>10700</t>
  </si>
  <si>
    <t>10701</t>
  </si>
  <si>
    <t>10702</t>
  </si>
  <si>
    <t>双联37毫米M1935高炮(测试)</t>
  </si>
  <si>
    <t>F国舰船装备时战斗结算获得经验额外增加15%；对空补正40%；对空倍率3</t>
  </si>
  <si>
    <t>双联5英寸高平两用炮(L54)</t>
  </si>
  <si>
    <t>U国舰船装备时战斗结算获得经验额外增加15%；对空补正50%；对空倍率2.2</t>
  </si>
  <si>
    <t>“晴岚”攻击机(潜特）</t>
  </si>
  <si>
    <t>10722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</si>
  <si>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</si>
  <si>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</si>
  <si>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</si>
  <si>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</si>
  <si>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</si>
  <si>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</si>
  <si>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</si>
  <si>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</si>
  <si>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10731</t>
  </si>
  <si>
    <t>10732</t>
  </si>
  <si>
    <t>10735</t>
  </si>
  <si>
    <t>10738</t>
  </si>
  <si>
    <t>10739</t>
  </si>
  <si>
    <t>10746</t>
  </si>
  <si>
    <t>10747</t>
  </si>
  <si>
    <t>10749</t>
  </si>
  <si>
    <t>10752</t>
  </si>
  <si>
    <t>00301</t>
    <phoneticPr fontId="2" type="noConversion"/>
  </si>
  <si>
    <t>Sub-A</t>
    <phoneticPr fontId="2" type="noConversion"/>
  </si>
  <si>
    <t>00212</t>
    <phoneticPr fontId="2" type="noConversion"/>
  </si>
  <si>
    <t>Angello Vaalmonica</t>
  </si>
  <si>
    <t>00302</t>
    <phoneticPr fontId="2" type="noConversion"/>
  </si>
  <si>
    <t>Dimonno Vaalmonica</t>
    <phoneticPr fontId="2" type="noConversion"/>
  </si>
  <si>
    <t>金猫猫战列</t>
    <phoneticPr fontId="2" type="noConversion"/>
  </si>
  <si>
    <t>金猫猫雷巡</t>
    <phoneticPr fontId="2" type="noConversion"/>
  </si>
  <si>
    <t>9-5boss点</t>
    <phoneticPr fontId="2" type="noConversion"/>
  </si>
  <si>
    <t>战斗结束获得经验增加10%(装备之间不叠加)；航空战阶段提高10%命中率；铝耗5</t>
    <phoneticPr fontId="2" type="noConversion"/>
  </si>
  <si>
    <t>CM.170</t>
    <phoneticPr fontId="2" type="noConversion"/>
  </si>
  <si>
    <t>初夏</t>
    <phoneticPr fontId="2" type="noConversion"/>
  </si>
  <si>
    <t>kitakaze</t>
    <phoneticPr fontId="2" type="noConversion"/>
  </si>
  <si>
    <t>米切尔</t>
    <phoneticPr fontId="2" type="noConversion"/>
  </si>
  <si>
    <t>midway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</si>
</sst>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5"/>
  <sheetViews>
    <sheetView tabSelected="1" workbookViewId="0">
      <pane xSplit="3" ySplit="1" topLeftCell="J120" activePane="bottomRight" state="frozen"/>
      <selection pane="topRight" activeCell="D1" sqref="D1"/>
      <selection pane="bottomLeft" activeCell="A2" sqref="A2"/>
      <selection pane="bottomRight" activeCell="AD139" sqref="AD139"/>
    </sheetView>
  </sheetViews>
  <sheetFormatPr baseColWidth="10" defaultColWidth="9" defaultRowHeight="15"/>
  <cols>
    <col min="3" max="3" width="21.83203125" customWidth="1"/>
    <col min="29" max="29" width="9" style="35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209</v>
      </c>
      <c r="C15" t="s">
        <v>2383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206</v>
      </c>
      <c r="C16" t="s">
        <v>2382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206</v>
      </c>
      <c r="C17" t="s">
        <v>2424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206</v>
      </c>
      <c r="C19" t="s">
        <v>2553</v>
      </c>
      <c r="D19" t="s">
        <v>2554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206</v>
      </c>
      <c r="C20" s="33" t="s">
        <v>2555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2556</v>
      </c>
    </row>
    <row r="21" spans="1:29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2556</v>
      </c>
    </row>
    <row r="26" spans="1:29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2556</v>
      </c>
    </row>
    <row r="27" spans="1:29">
      <c r="A27" s="3">
        <v>10212</v>
      </c>
      <c r="B27" t="s">
        <v>206</v>
      </c>
      <c r="C27" t="s">
        <v>2468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2466</v>
      </c>
    </row>
    <row r="28" spans="1:29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2466</v>
      </c>
    </row>
    <row r="29" spans="1:29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>
      <c r="A38" s="3">
        <v>10231</v>
      </c>
      <c r="B38" t="s">
        <v>21</v>
      </c>
      <c r="C38" t="s">
        <v>2386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208</v>
      </c>
      <c r="C42" t="s">
        <v>2384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208</v>
      </c>
      <c r="C43" t="s">
        <v>2385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2557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212</v>
      </c>
      <c r="C45" t="s">
        <v>2534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2472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206</v>
      </c>
      <c r="C51" t="s">
        <v>2425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7" t="s">
        <v>2723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2466</v>
      </c>
    </row>
    <row r="56" spans="1:29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2556</v>
      </c>
    </row>
    <row r="58" spans="1:29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2556</v>
      </c>
    </row>
    <row r="77" spans="1:29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209</v>
      </c>
      <c r="C87" s="7" t="s">
        <v>2720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>
      <c r="A92" s="3">
        <v>10455</v>
      </c>
      <c r="B92" t="s">
        <v>75</v>
      </c>
      <c r="C92" s="7" t="s">
        <v>2721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206</v>
      </c>
      <c r="C96" s="7" t="s">
        <v>2724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206</v>
      </c>
      <c r="C97" t="s">
        <v>2718</v>
      </c>
      <c r="D97" t="s">
        <v>2719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2466</v>
      </c>
    </row>
    <row r="98" spans="1:29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2498</v>
      </c>
    </row>
    <row r="99" spans="1:29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204</v>
      </c>
      <c r="C104" t="s">
        <v>2722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2728</v>
      </c>
    </row>
    <row r="113" spans="1:29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5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212</v>
      </c>
      <c r="C127" t="s">
        <v>2348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212</v>
      </c>
      <c r="C128" t="s">
        <v>2467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209</v>
      </c>
      <c r="C129" t="s">
        <v>2725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206</v>
      </c>
      <c r="C130" t="s">
        <v>2558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206</v>
      </c>
      <c r="C131" t="s">
        <v>2559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75</v>
      </c>
      <c r="C132" t="s">
        <v>2560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3102</v>
      </c>
    </row>
    <row r="133" spans="1:29">
      <c r="A133" s="3">
        <v>10581</v>
      </c>
      <c r="B133" t="s">
        <v>2249</v>
      </c>
      <c r="C133" t="s">
        <v>2726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206</v>
      </c>
      <c r="C134" t="s">
        <v>2561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2659</v>
      </c>
      <c r="C135" t="s">
        <v>2660</v>
      </c>
      <c r="D135" t="s">
        <v>2661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209</v>
      </c>
      <c r="C136" t="s">
        <v>2710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21</v>
      </c>
      <c r="C137" t="s">
        <v>2717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>
      <c r="A138" s="3">
        <v>10596</v>
      </c>
      <c r="B138" t="s">
        <v>2657</v>
      </c>
      <c r="C138" t="s">
        <v>2658</v>
      </c>
      <c r="D138" t="s">
        <v>2647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2646</v>
      </c>
      <c r="C139" s="2">
        <v>351</v>
      </c>
      <c r="D139" t="s">
        <v>2647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2800</v>
      </c>
      <c r="C140" t="s">
        <v>2801</v>
      </c>
      <c r="D140" t="s">
        <v>2802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2797</v>
      </c>
      <c r="C141" t="s">
        <v>2798</v>
      </c>
      <c r="D141" t="s">
        <v>2799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2803</v>
      </c>
      <c r="C142" t="s">
        <v>2804</v>
      </c>
      <c r="D142" t="s">
        <v>2802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2805</v>
      </c>
    </row>
    <row r="143" spans="1:29">
      <c r="A143" s="3">
        <v>10613</v>
      </c>
      <c r="B143" t="s">
        <v>206</v>
      </c>
      <c r="C143" t="s">
        <v>2857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2729</v>
      </c>
      <c r="C144" t="s">
        <v>2730</v>
      </c>
      <c r="D144" t="s">
        <v>2731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2732</v>
      </c>
    </row>
    <row r="145" spans="1:29">
      <c r="A145" s="3">
        <v>10619</v>
      </c>
      <c r="B145" t="s">
        <v>75</v>
      </c>
      <c r="C145" t="s">
        <v>2858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3102</v>
      </c>
    </row>
  </sheetData>
  <autoFilter ref="A1:AC133" xr:uid="{00000000-0009-0000-0000-000000000000}">
    <sortState xmlns:xlrd2="http://schemas.microsoft.com/office/spreadsheetml/2017/richdata2" ref="A2:AC145">
      <sortCondition ref="A1:A133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3"/>
  <sheetViews>
    <sheetView workbookViewId="0">
      <pane xSplit="3" ySplit="1" topLeftCell="K201" activePane="bottomRight" state="frozen"/>
      <selection pane="topRight" activeCell="D1" sqref="D1"/>
      <selection pane="bottomLeft" activeCell="A2" sqref="A2"/>
      <selection pane="bottomRight" activeCell="A223" sqref="A223"/>
    </sheetView>
  </sheetViews>
  <sheetFormatPr baseColWidth="10" defaultColWidth="9" defaultRowHeight="15"/>
  <cols>
    <col min="1" max="1" width="9" style="3"/>
    <col min="3" max="3" width="22.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>SUM($S3:$V3)</f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>SUM($S4:$V4)</f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>SUM($S5:$V5)</f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>SUM($S6:$V6)</f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>SUM($S7:$V7)</f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>SUM($S8:$V8)</f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>SUM($S9:$V9)</f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>SUM($S10:$V10)</f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>SUM($S11:$V11)</f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>SUM($S12:$V12)</f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>SUM($S13:$V13)</f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>SUM($S14:$V14)</f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>SUM($S15:$V15)</f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>SUM($S16:$V16)</f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>SUM($S17:$V17)</f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>SUM($S18:$V18)</f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>SUM($S19:$V19)</f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>SUM($S20:$V20)</f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>SUM($S21:$V21)</f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>SUM($S22:$V22)</f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>SUM($S23:$V23)</f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>SUM($S24:$V24)</f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>SUM($S25:$V25)</f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>SUM($S26:$V26)</f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>SUM($S27:$V27)</f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>SUM($S28:$V28)</f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>SUM($S29:$V29)</f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>SUM($S30:$V30)</f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>SUM($S31:$V31)</f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>SUM($S32:$V32)</f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>SUM($S33:$V33)</f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>SUM($S34:$V34)</f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>SUM($S35:$V35)</f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>SUM($S36:$V36)</f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>SUM($S37:$V37)</f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>SUM($S38:$V38)</f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>SUM($S39:$V39)</f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>SUM($S40:$V40)</f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>SUM($S41:$V41)</f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>SUM($S42:$V42)</f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>SUM($S43:$V43)</f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>SUM($S44:$V44)</f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2733</v>
      </c>
      <c r="C45" t="s">
        <v>2734</v>
      </c>
      <c r="D45" s="3" t="s">
        <v>2735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>SUM($S45:$V45)</f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2727</v>
      </c>
    </row>
    <row r="46" spans="1:29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>SUM($S46:$V46)</f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2727</v>
      </c>
    </row>
    <row r="47" spans="1:29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>SUM($S47:$V47)</f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2421</v>
      </c>
      <c r="C48" t="s">
        <v>2422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>SUM($S48:$V48)</f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2421</v>
      </c>
      <c r="C49" t="s">
        <v>2423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>SUM($S49:$V49)</f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>SUM($S50:$V50)</f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>SUM($S51:$V51)</f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>SUM($S52:$V52)</f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>SUM($S54:$V54)</f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>SUM($S55:$V55)</f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>SUM($S56:$V56)</f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>SUM($S57:$V57)</f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>SUM($S59:$V59)</f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>SUM($S60:$V60)</f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>SUM($S61:$V61)</f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>SUM($S62:$V62)</f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>SUM($S63:$V63)</f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>
      <c r="A64" s="3">
        <v>11079</v>
      </c>
      <c r="B64" t="s">
        <v>203</v>
      </c>
      <c r="C64" t="s">
        <v>2861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>SUM($S64:$V64)</f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2080</v>
      </c>
    </row>
    <row r="65" spans="1:29">
      <c r="A65" s="3">
        <v>11080</v>
      </c>
      <c r="B65" t="s">
        <v>203</v>
      </c>
      <c r="C65" t="s">
        <v>1956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>SUM($S65:$V65)</f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2080</v>
      </c>
    </row>
    <row r="66" spans="1:29">
      <c r="A66" s="3">
        <v>11081</v>
      </c>
      <c r="B66" t="s">
        <v>203</v>
      </c>
      <c r="C66" t="s">
        <v>1957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203</v>
      </c>
      <c r="C68" t="s">
        <v>1958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>SUM($S68:$V68)</f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203</v>
      </c>
      <c r="C69" t="s">
        <v>1959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>SUM($S69:$V69)</f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203</v>
      </c>
      <c r="C70" t="s">
        <v>1960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>SUM($S70:$V70)</f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203</v>
      </c>
      <c r="C71" t="s">
        <v>1961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>SUM($S71:$V71)</f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203</v>
      </c>
      <c r="C72" t="s">
        <v>1962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>SUM($S72:$V72)</f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203</v>
      </c>
      <c r="C73" t="s">
        <v>1963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>SUM($S73:$V73)</f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203</v>
      </c>
      <c r="C74" t="s">
        <v>1964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>SUM($S74:$V74)</f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203</v>
      </c>
      <c r="C75" t="s">
        <v>1965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>SUM($S75:$V75)</f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203</v>
      </c>
      <c r="C76" t="s">
        <v>1966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>SUM($S76:$V76)</f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2033</v>
      </c>
      <c r="C77" t="s">
        <v>2034</v>
      </c>
      <c r="D77" t="s">
        <v>2032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>SUM($S77:$V77)</f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2035</v>
      </c>
      <c r="C78" t="s">
        <v>2029</v>
      </c>
      <c r="D78" t="s">
        <v>2036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>SUM($S78:$V78)</f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2498</v>
      </c>
    </row>
    <row r="79" spans="1:29">
      <c r="A79" s="3">
        <v>11098</v>
      </c>
      <c r="B79" t="s">
        <v>203</v>
      </c>
      <c r="C79" t="s">
        <v>1967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>SUM($S79:$V79)</f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203</v>
      </c>
      <c r="C80" t="s">
        <v>1968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>SUM($S80:$V80)</f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206</v>
      </c>
      <c r="C81" s="7" t="s">
        <v>1854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>SUM($S81:$V81)</f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</row>
    <row r="82" spans="1:29">
      <c r="A82" s="3">
        <v>11101</v>
      </c>
      <c r="B82" t="s">
        <v>206</v>
      </c>
      <c r="C82" s="7" t="s">
        <v>1901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>SUM($S82:$V82)</f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2215</v>
      </c>
    </row>
    <row r="83" spans="1:29">
      <c r="A83" s="3">
        <v>11102</v>
      </c>
      <c r="B83" t="s">
        <v>206</v>
      </c>
      <c r="C83" s="7" t="s">
        <v>1902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>SUM($S83:$V83)</f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2215</v>
      </c>
    </row>
    <row r="84" spans="1:29">
      <c r="A84" s="3">
        <v>11105</v>
      </c>
      <c r="B84" t="s">
        <v>206</v>
      </c>
      <c r="C84" s="7" t="s">
        <v>1855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>SUM($S84:$V84)</f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206</v>
      </c>
      <c r="C85" s="7" t="s">
        <v>1903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>SUM($S85:$V85)</f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206</v>
      </c>
      <c r="C86" s="7" t="s">
        <v>1904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>SUM($S86:$V86)</f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206</v>
      </c>
      <c r="C87" s="7" t="s">
        <v>1905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>SUM($S87:$V87)</f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2215</v>
      </c>
    </row>
    <row r="88" spans="1:29">
      <c r="A88" s="3">
        <v>11109</v>
      </c>
      <c r="B88" t="s">
        <v>206</v>
      </c>
      <c r="C88" s="7" t="s">
        <v>1906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>SUM($S88:$V88)</f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2215</v>
      </c>
    </row>
    <row r="89" spans="1:29">
      <c r="A89" s="3">
        <v>11110</v>
      </c>
      <c r="B89" t="s">
        <v>206</v>
      </c>
      <c r="C89" s="7" t="s">
        <v>1907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>SUM($S89:$V89)</f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2215</v>
      </c>
    </row>
    <row r="90" spans="1:29">
      <c r="A90" s="3">
        <v>11111</v>
      </c>
      <c r="B90" t="s">
        <v>206</v>
      </c>
      <c r="C90" s="7" t="s">
        <v>1908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>SUM($S90:$V90)</f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206</v>
      </c>
      <c r="C91" s="7" t="s">
        <v>1909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>SUM($S91:$V91)</f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2466</v>
      </c>
    </row>
    <row r="92" spans="1:29">
      <c r="A92" s="3">
        <v>11113</v>
      </c>
      <c r="B92" t="s">
        <v>206</v>
      </c>
      <c r="C92" s="7" t="s">
        <v>1910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>SUM($S92:$V92)</f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>SUM($S93:$V93)</f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>SUM($S94:$V94)</f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>SUM($S95:$V95)</f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>SUM($S96:$V96)</f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>SUM($S97:$V97)</f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>SUM($S98:$V98)</f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>SUM($S99:$V99)</f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>SUM($S100:$V100)</f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209</v>
      </c>
      <c r="C101" s="7" t="s">
        <v>2026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>SUM($S101:$V101)</f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</v>
      </c>
      <c r="C102" t="s">
        <v>1921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>SUM($S102:$V102)</f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</v>
      </c>
      <c r="C103" t="s">
        <v>1922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>SUM($S103:$V103)</f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</v>
      </c>
      <c r="C104" t="s">
        <v>1923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>SUM($S104:$V104)</f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</v>
      </c>
      <c r="C105" t="s">
        <v>1924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>SUM($S105:$V105)</f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</v>
      </c>
      <c r="C106" t="s">
        <v>1925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>SUM($S106:$V106)</f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</v>
      </c>
      <c r="C107" t="s">
        <v>1926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>SUM($S107:$V107)</f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</v>
      </c>
      <c r="C108" t="s">
        <v>1927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>SUM($S108:$V108)</f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</v>
      </c>
      <c r="C109" t="s">
        <v>1928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>SUM($S109:$V109)</f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</v>
      </c>
      <c r="C110" t="s">
        <v>1929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>SUM($S110:$V110)</f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</v>
      </c>
      <c r="C111" t="s">
        <v>1930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>SUM($S111:$V111)</f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204</v>
      </c>
      <c r="C112" s="28" t="s">
        <v>2714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>SUM($S112:$V112)</f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2727</v>
      </c>
    </row>
    <row r="113" spans="1:29">
      <c r="A113" s="3">
        <v>11160</v>
      </c>
      <c r="B113" t="s">
        <v>204</v>
      </c>
      <c r="C113" t="s">
        <v>1999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>SUM($S113:$V113)</f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204</v>
      </c>
      <c r="C114" t="s">
        <v>1938</v>
      </c>
      <c r="D114" s="3" t="s">
        <v>1935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>SUM($S114:$V114)</f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203</v>
      </c>
      <c r="C115" t="s">
        <v>1969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>SUM($S115:$V115)</f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203</v>
      </c>
      <c r="C116" t="s">
        <v>1970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>SUM($S116:$V116)</f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203</v>
      </c>
      <c r="C117" t="s">
        <v>1971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>SUM($S117:$V117)</f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203</v>
      </c>
      <c r="C118" t="s">
        <v>1972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>SUM($S118:$V118)</f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203</v>
      </c>
      <c r="C119" t="s">
        <v>1973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>SUM($S119:$V119)</f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203</v>
      </c>
      <c r="C120" t="s">
        <v>1974</v>
      </c>
      <c r="D120" s="3" t="s">
        <v>1935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>SUM($S120:$V120)</f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203</v>
      </c>
      <c r="C121" t="s">
        <v>1975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>SUM($S121:$V121)</f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2080</v>
      </c>
    </row>
    <row r="122" spans="1:29">
      <c r="A122" s="3">
        <v>11175</v>
      </c>
      <c r="B122" t="s">
        <v>203</v>
      </c>
      <c r="C122" t="s">
        <v>1976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>SUM($S122:$V122)</f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203</v>
      </c>
      <c r="C123" t="s">
        <v>1977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>SUM($S123:$V123)</f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203</v>
      </c>
      <c r="C124" t="s">
        <v>1978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>SUM($S124:$V124)</f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203</v>
      </c>
      <c r="C125" t="s">
        <v>1979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>SUM($S125:$V125)</f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203</v>
      </c>
      <c r="C126" t="s">
        <v>1980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>SUM($S126:$V126)</f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203</v>
      </c>
      <c r="C127" t="s">
        <v>1981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>SUM($S127:$V127)</f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203</v>
      </c>
      <c r="C128" t="s">
        <v>1982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>SUM($S128:$V128)</f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203</v>
      </c>
      <c r="C129" t="s">
        <v>1983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>SUM($S129:$V129)</f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203</v>
      </c>
      <c r="C130" t="s">
        <v>1984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208</v>
      </c>
      <c r="C131" s="15" t="s">
        <v>2052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>SUM($S131:$V131)</f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208</v>
      </c>
      <c r="C132" s="15" t="s">
        <v>2053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>SUM($S132:$V132)</f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208</v>
      </c>
      <c r="C133" s="15" t="s">
        <v>2054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>SUM($S133:$V133)</f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2055</v>
      </c>
    </row>
    <row r="134" spans="1:29">
      <c r="A134" s="3">
        <v>11198</v>
      </c>
      <c r="B134" t="s">
        <v>208</v>
      </c>
      <c r="C134" t="s">
        <v>2475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>SUM($S134:$V134)</f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2055</v>
      </c>
    </row>
    <row r="135" spans="1:29">
      <c r="A135" s="2">
        <v>11199</v>
      </c>
      <c r="B135" t="s">
        <v>2061</v>
      </c>
      <c r="C135" t="s">
        <v>2062</v>
      </c>
      <c r="D135" t="s">
        <v>2039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>SUM($S135:$V135)</f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2736</v>
      </c>
      <c r="C136" t="s">
        <v>2737</v>
      </c>
      <c r="D136" t="s">
        <v>2738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>SUM($S136:$V136)</f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206</v>
      </c>
      <c r="C137" s="7" t="s">
        <v>1859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>SUM($S137:$V137)</f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206</v>
      </c>
      <c r="C138" s="7" t="s">
        <v>1860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>SUM($S138:$V138)</f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2278</v>
      </c>
    </row>
    <row r="139" spans="1:29">
      <c r="A139" s="3">
        <v>11209</v>
      </c>
      <c r="B139" t="s">
        <v>2037</v>
      </c>
      <c r="C139" t="s">
        <v>1862</v>
      </c>
      <c r="D139" t="s">
        <v>2032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>SUM($S139:$V139)</f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2556</v>
      </c>
    </row>
    <row r="140" spans="1:29">
      <c r="A140" s="3">
        <v>11211</v>
      </c>
      <c r="B140" t="s">
        <v>206</v>
      </c>
      <c r="C140" s="7" t="s">
        <v>1911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>SUM($S140:$V140)</f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2736</v>
      </c>
      <c r="C141" t="s">
        <v>2739</v>
      </c>
      <c r="D141" t="s">
        <v>2740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>SUM($S141:$V141)</f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>SUM($S142:$V142)</f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>SUM($S143:$V143)</f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>SUM($S144:$V144)</f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>SUM($S145:$V145)</f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>SUM($S146:$V146)</f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75</v>
      </c>
      <c r="C147" s="7" t="s">
        <v>1844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>SUM($S147:$V147)</f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>SUM($S148:$V148)</f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>SUM($S149:$V149)</f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>SUM($S150:$V150)</f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21</v>
      </c>
      <c r="C151" t="s">
        <v>2537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>SUM($S151:$V151)</f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1940</v>
      </c>
      <c r="C152" s="7" t="s">
        <v>1941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>SUM($S152:$V152)</f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</v>
      </c>
      <c r="C153" t="s">
        <v>2349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>SUM($S153:$V153)</f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</v>
      </c>
      <c r="C154" s="28" t="s">
        <v>2247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>SUM($S154:$V154)</f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</v>
      </c>
      <c r="C155" t="s">
        <v>1931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>SUM($S155:$V155)</f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</v>
      </c>
      <c r="C156" t="s">
        <v>1880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>SUM($S156:$V156)</f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203</v>
      </c>
      <c r="C157" t="s">
        <v>2562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>SUM($S157:$V157)</f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1940</v>
      </c>
      <c r="C158" s="7" t="s">
        <v>1890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>SUM($S158:$V158)</f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203</v>
      </c>
      <c r="C159" t="s">
        <v>2563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>SUM($S159:$V159)</f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203</v>
      </c>
      <c r="C160" t="s">
        <v>1985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>SUM($S160:$V160)</f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203</v>
      </c>
      <c r="C161" t="s">
        <v>3099</v>
      </c>
      <c r="D161" t="s">
        <v>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>SUM($S161:$V161)</f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3100</v>
      </c>
    </row>
    <row r="162" spans="1:29">
      <c r="A162" s="3">
        <v>11267</v>
      </c>
      <c r="B162" t="s">
        <v>203</v>
      </c>
      <c r="C162" t="s">
        <v>2816</v>
      </c>
      <c r="D162" t="s">
        <v>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>SUM($S162:$V162)</f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203</v>
      </c>
      <c r="C163" t="s">
        <v>1986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>SUM($S163:$V163)</f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2080</v>
      </c>
    </row>
    <row r="164" spans="1:29">
      <c r="A164" s="3">
        <v>11270</v>
      </c>
      <c r="B164" t="s">
        <v>203</v>
      </c>
      <c r="C164" t="s">
        <v>1987</v>
      </c>
      <c r="D164" s="3" t="s">
        <v>68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>SUM($S164:$V164)</f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2080</v>
      </c>
    </row>
    <row r="165" spans="1:29">
      <c r="A165" s="27">
        <v>11273</v>
      </c>
      <c r="B165" t="s">
        <v>203</v>
      </c>
      <c r="C165" t="s">
        <v>2564</v>
      </c>
      <c r="D165" t="s">
        <v>67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>SUM($S165:$V165)</f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203</v>
      </c>
      <c r="C166" t="s">
        <v>2284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>SUM($S166:$V166)</f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2285</v>
      </c>
    </row>
    <row r="167" spans="1:29">
      <c r="A167" s="27">
        <v>11277</v>
      </c>
      <c r="B167" t="s">
        <v>203</v>
      </c>
      <c r="C167" t="s">
        <v>2565</v>
      </c>
      <c r="D167" t="s">
        <v>67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>SUM($S167:$V167)</f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2285</v>
      </c>
    </row>
    <row r="168" spans="1:29">
      <c r="A168" s="3">
        <v>11278</v>
      </c>
      <c r="B168" t="s">
        <v>203</v>
      </c>
      <c r="C168" t="s">
        <v>1988</v>
      </c>
      <c r="D168" s="3" t="s">
        <v>67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>SUM($S168:$V168)</f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203</v>
      </c>
      <c r="C169" t="s">
        <v>1989</v>
      </c>
      <c r="D169" s="3" t="s">
        <v>67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>SUM($S169:$V169)</f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203</v>
      </c>
      <c r="C170" t="s">
        <v>1990</v>
      </c>
      <c r="D170" s="3" t="s">
        <v>67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>SUM($S170:$V170)</f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208</v>
      </c>
      <c r="C171" s="15" t="s">
        <v>2056</v>
      </c>
      <c r="D171" s="5" t="s">
        <v>68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>SUM($S171:$V171)</f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2055</v>
      </c>
    </row>
    <row r="172" spans="1:29">
      <c r="A172" s="3">
        <v>11290</v>
      </c>
      <c r="B172" t="s">
        <v>208</v>
      </c>
      <c r="C172" s="15" t="s">
        <v>2057</v>
      </c>
      <c r="D172" s="5" t="s">
        <v>68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>SUM($S172:$V172)</f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2055</v>
      </c>
    </row>
    <row r="173" spans="1:29">
      <c r="A173" s="3">
        <v>11291</v>
      </c>
      <c r="B173" t="s">
        <v>208</v>
      </c>
      <c r="C173" t="s">
        <v>2566</v>
      </c>
      <c r="D173" t="s">
        <v>68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>SUM($S173:$V173)</f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2055</v>
      </c>
    </row>
    <row r="174" spans="1:29">
      <c r="A174" s="3">
        <v>11293</v>
      </c>
      <c r="B174" t="s">
        <v>208</v>
      </c>
      <c r="C174" s="15" t="s">
        <v>2058</v>
      </c>
      <c r="D174" s="5" t="s">
        <v>68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>SUM($S174:$V174)</f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2055</v>
      </c>
    </row>
    <row r="175" spans="1:29">
      <c r="A175" s="3">
        <v>11299</v>
      </c>
      <c r="B175" t="s">
        <v>2037</v>
      </c>
      <c r="C175" t="s">
        <v>2038</v>
      </c>
      <c r="D175" t="s">
        <v>2039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>SUM($S175:$V175)</f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203</v>
      </c>
      <c r="C176" t="s">
        <v>1991</v>
      </c>
      <c r="D176" s="3" t="s">
        <v>67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>SUM($S176:$V176)</f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203</v>
      </c>
      <c r="C177" t="s">
        <v>1992</v>
      </c>
      <c r="D177" s="3" t="s">
        <v>69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>SUM($S177:$V177)</f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90</v>
      </c>
      <c r="C178" t="s">
        <v>2351</v>
      </c>
      <c r="D178" t="s">
        <v>67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>SUM($S178:$V178)</f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203</v>
      </c>
      <c r="C179" t="s">
        <v>1993</v>
      </c>
      <c r="D179" s="3" t="s">
        <v>80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>SUM($S179:$V179)</f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203</v>
      </c>
      <c r="C180" t="s">
        <v>1994</v>
      </c>
      <c r="D180" s="3" t="s">
        <v>80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>SUM($S180:$V180)</f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21</v>
      </c>
      <c r="C181" s="7" t="s">
        <v>66</v>
      </c>
      <c r="D181" t="s">
        <v>67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>SUM($S181:$V181)</f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74</v>
      </c>
    </row>
    <row r="182" spans="1:29">
      <c r="A182" s="3">
        <v>11332</v>
      </c>
      <c r="B182" t="s">
        <v>90</v>
      </c>
      <c r="C182" t="s">
        <v>2536</v>
      </c>
      <c r="D182" t="s">
        <v>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>SUM($S182:$V182)</f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203</v>
      </c>
      <c r="C183" t="s">
        <v>1995</v>
      </c>
      <c r="D183" s="3" t="s">
        <v>70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>SUM($S183:$V183)</f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21</v>
      </c>
      <c r="C184" s="7" t="s">
        <v>58</v>
      </c>
      <c r="D184" t="s">
        <v>71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>SUM($S184:$V184)</f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2466</v>
      </c>
    </row>
    <row r="185" spans="1:29">
      <c r="A185" s="3">
        <v>11340</v>
      </c>
      <c r="B185" t="s">
        <v>1940</v>
      </c>
      <c r="C185" t="s">
        <v>2465</v>
      </c>
      <c r="D185" t="s">
        <v>71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>SUM($S185:$V185)</f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203</v>
      </c>
      <c r="C186" t="s">
        <v>1996</v>
      </c>
      <c r="D186" s="3" t="s">
        <v>67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>SUM($S186:$V186)</f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203</v>
      </c>
      <c r="C187" t="s">
        <v>1997</v>
      </c>
      <c r="D187" s="3" t="s">
        <v>67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>SUM($S187:$V187)</f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208</v>
      </c>
      <c r="C188" s="15" t="s">
        <v>2059</v>
      </c>
      <c r="D188" s="5" t="s">
        <v>68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>SUM($S188:$V188)</f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2055</v>
      </c>
    </row>
    <row r="189" spans="1:29">
      <c r="A189" s="3">
        <v>11362</v>
      </c>
      <c r="B189" t="s">
        <v>209</v>
      </c>
      <c r="C189" s="7" t="s">
        <v>2016</v>
      </c>
      <c r="D189" s="3" t="s">
        <v>67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>SUM($S189:$V189)</f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2741</v>
      </c>
      <c r="C190" t="s">
        <v>2742</v>
      </c>
      <c r="D190" t="s">
        <v>2740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>SUM($S190:$V190)</f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208</v>
      </c>
      <c r="C191" s="28" t="s">
        <v>2064</v>
      </c>
      <c r="D191" t="s">
        <v>67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>SUM($S191:$V191)</f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203</v>
      </c>
      <c r="C192" t="s">
        <v>1998</v>
      </c>
      <c r="D192" s="3" t="s">
        <v>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>SUM($S192:$V192)</f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3100</v>
      </c>
    </row>
    <row r="193" spans="1:29">
      <c r="A193" s="3">
        <v>11380</v>
      </c>
      <c r="B193" t="s">
        <v>206</v>
      </c>
      <c r="C193" s="7" t="s">
        <v>1870</v>
      </c>
      <c r="D193" s="3" t="s">
        <v>69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>SUM($S193:$V193)</f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2246</v>
      </c>
      <c r="C194" s="28" t="s">
        <v>2715</v>
      </c>
      <c r="D194" t="s">
        <v>2716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208</v>
      </c>
      <c r="C195" s="15" t="s">
        <v>2060</v>
      </c>
      <c r="D195" s="5" t="s">
        <v>67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>SUM($S195:$V195)</f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2246</v>
      </c>
      <c r="C196" t="s">
        <v>2030</v>
      </c>
      <c r="D196" t="s">
        <v>2040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>SUM($S196:$V196)</f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203</v>
      </c>
      <c r="C197" t="s">
        <v>2388</v>
      </c>
      <c r="D197" t="s">
        <v>69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>SUM($S197:$V197)</f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203</v>
      </c>
      <c r="C198" t="s">
        <v>2350</v>
      </c>
      <c r="D198" t="s">
        <v>80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>SUM($S198:$V198)</f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203</v>
      </c>
      <c r="C199" t="s">
        <v>2286</v>
      </c>
      <c r="D199" t="s">
        <v>67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>SUM($S199:$V199)</f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21</v>
      </c>
      <c r="C200" s="7" t="s">
        <v>62</v>
      </c>
      <c r="D200" t="s">
        <v>68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>SUM($S200:$V200)</f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28">
        <v>11430</v>
      </c>
      <c r="B201" t="s">
        <v>2246</v>
      </c>
      <c r="C201" s="28" t="s">
        <v>2713</v>
      </c>
      <c r="D201" t="s">
        <v>80</v>
      </c>
      <c r="E201">
        <v>52</v>
      </c>
      <c r="F201">
        <v>61</v>
      </c>
      <c r="G201">
        <v>0</v>
      </c>
      <c r="H201">
        <v>58</v>
      </c>
      <c r="I201">
        <v>105</v>
      </c>
      <c r="J201">
        <v>0</v>
      </c>
      <c r="K201" s="1">
        <v>99</v>
      </c>
      <c r="L201">
        <v>74</v>
      </c>
      <c r="M201">
        <v>44</v>
      </c>
      <c r="N201">
        <v>33</v>
      </c>
      <c r="O201">
        <v>2</v>
      </c>
      <c r="P201">
        <v>17</v>
      </c>
      <c r="Q201">
        <v>4</v>
      </c>
      <c r="R201" s="17">
        <f>SUM($S201:$V201)</f>
        <v>48</v>
      </c>
      <c r="S201">
        <v>12</v>
      </c>
      <c r="T201">
        <v>12</v>
      </c>
      <c r="U201">
        <v>12</v>
      </c>
      <c r="V201">
        <v>12</v>
      </c>
      <c r="W201">
        <v>30</v>
      </c>
      <c r="X201">
        <v>75</v>
      </c>
      <c r="Y201">
        <v>0.9</v>
      </c>
      <c r="Z201">
        <v>1.7</v>
      </c>
      <c r="AA201">
        <v>114301</v>
      </c>
    </row>
    <row r="202" spans="1:29">
      <c r="A202" s="3">
        <v>11431</v>
      </c>
      <c r="B202" t="s">
        <v>205</v>
      </c>
      <c r="C202" t="s">
        <v>1932</v>
      </c>
      <c r="D202" s="3" t="s">
        <v>69</v>
      </c>
      <c r="E202" s="6">
        <v>60</v>
      </c>
      <c r="F202" s="6">
        <v>65</v>
      </c>
      <c r="G202" s="6">
        <v>60</v>
      </c>
      <c r="H202" s="6">
        <v>47</v>
      </c>
      <c r="I202" s="6">
        <v>81</v>
      </c>
      <c r="J202" s="6">
        <v>0</v>
      </c>
      <c r="K202" s="10">
        <v>97</v>
      </c>
      <c r="L202" s="6">
        <v>84</v>
      </c>
      <c r="M202" s="6">
        <v>62</v>
      </c>
      <c r="N202" s="6">
        <v>31.5</v>
      </c>
      <c r="O202" s="6">
        <v>2</v>
      </c>
      <c r="P202" s="6">
        <v>20</v>
      </c>
      <c r="Q202" s="6">
        <v>4</v>
      </c>
      <c r="R202">
        <f>SUM($S202:$V202)</f>
        <v>0</v>
      </c>
      <c r="S202" s="6">
        <v>0</v>
      </c>
      <c r="T202" s="6">
        <v>0</v>
      </c>
      <c r="U202" s="6">
        <v>0</v>
      </c>
      <c r="V202" s="6">
        <v>0</v>
      </c>
      <c r="W202" s="6">
        <v>35</v>
      </c>
      <c r="X202" s="6">
        <v>70</v>
      </c>
      <c r="Y202" s="6">
        <v>1.28</v>
      </c>
      <c r="Z202" s="6">
        <v>2.4</v>
      </c>
      <c r="AA202" s="6">
        <v>114311</v>
      </c>
      <c r="AB202" s="6"/>
    </row>
    <row r="203" spans="1:29">
      <c r="A203" s="3">
        <v>11456</v>
      </c>
      <c r="B203" t="s">
        <v>204</v>
      </c>
      <c r="C203" t="s">
        <v>1939</v>
      </c>
      <c r="D203" s="3" t="s">
        <v>80</v>
      </c>
      <c r="E203" s="6">
        <v>64</v>
      </c>
      <c r="F203" s="6">
        <v>76</v>
      </c>
      <c r="G203" s="6">
        <v>0</v>
      </c>
      <c r="H203" s="6">
        <v>67</v>
      </c>
      <c r="I203" s="6">
        <v>100</v>
      </c>
      <c r="J203" s="6">
        <v>79</v>
      </c>
      <c r="K203" s="6">
        <v>97</v>
      </c>
      <c r="L203" s="6">
        <v>83</v>
      </c>
      <c r="M203" s="6">
        <v>59</v>
      </c>
      <c r="N203" s="6">
        <v>32.6</v>
      </c>
      <c r="O203" s="6">
        <v>2</v>
      </c>
      <c r="P203" s="6">
        <v>19</v>
      </c>
      <c r="Q203" s="6">
        <v>4</v>
      </c>
      <c r="R203">
        <f>SUM($S203:$V203)</f>
        <v>0</v>
      </c>
      <c r="S203" s="6">
        <v>0</v>
      </c>
      <c r="T203" s="6">
        <v>0</v>
      </c>
      <c r="U203" s="6">
        <v>0</v>
      </c>
      <c r="V203" s="6">
        <v>0</v>
      </c>
      <c r="W203" s="6">
        <v>45</v>
      </c>
      <c r="X203" s="6">
        <v>80</v>
      </c>
      <c r="Y203" s="6">
        <v>1.5</v>
      </c>
      <c r="Z203" s="6">
        <v>2.8</v>
      </c>
      <c r="AA203" s="6">
        <v>114561</v>
      </c>
      <c r="AB203" s="6"/>
    </row>
    <row r="204" spans="1:29">
      <c r="A204" s="3">
        <v>11467</v>
      </c>
      <c r="B204" t="s">
        <v>211</v>
      </c>
      <c r="C204" t="s">
        <v>2535</v>
      </c>
      <c r="D204" t="s">
        <v>1935</v>
      </c>
      <c r="E204">
        <v>33</v>
      </c>
      <c r="F204">
        <v>42</v>
      </c>
      <c r="G204">
        <v>0</v>
      </c>
      <c r="H204">
        <v>40</v>
      </c>
      <c r="I204">
        <v>65</v>
      </c>
      <c r="J204">
        <v>0</v>
      </c>
      <c r="K204" s="1">
        <v>101</v>
      </c>
      <c r="L204">
        <v>93</v>
      </c>
      <c r="M204">
        <v>44</v>
      </c>
      <c r="N204">
        <v>39</v>
      </c>
      <c r="O204">
        <v>1</v>
      </c>
      <c r="P204">
        <v>25</v>
      </c>
      <c r="Q204">
        <v>3</v>
      </c>
      <c r="R204" s="17">
        <f>SUM($S204:$V204)</f>
        <v>24</v>
      </c>
      <c r="S204">
        <v>8</v>
      </c>
      <c r="T204">
        <v>8</v>
      </c>
      <c r="U204">
        <v>8</v>
      </c>
      <c r="V204">
        <v>0</v>
      </c>
      <c r="W204">
        <v>25</v>
      </c>
      <c r="X204">
        <v>65</v>
      </c>
      <c r="Y204">
        <v>0.48</v>
      </c>
      <c r="Z204">
        <v>1.5</v>
      </c>
      <c r="AA204">
        <v>104671</v>
      </c>
      <c r="AB204">
        <v>114672</v>
      </c>
      <c r="AC204" s="3" t="s">
        <v>2498</v>
      </c>
    </row>
    <row r="205" spans="1:29">
      <c r="A205" s="3">
        <v>11483</v>
      </c>
      <c r="B205" t="s">
        <v>75</v>
      </c>
      <c r="C205" s="7" t="s">
        <v>81</v>
      </c>
      <c r="D205" t="s">
        <v>69</v>
      </c>
      <c r="E205">
        <v>80</v>
      </c>
      <c r="F205">
        <v>45</v>
      </c>
      <c r="G205">
        <v>0</v>
      </c>
      <c r="H205">
        <v>96</v>
      </c>
      <c r="I205">
        <v>101</v>
      </c>
      <c r="J205">
        <v>0</v>
      </c>
      <c r="K205" s="1">
        <v>97</v>
      </c>
      <c r="L205">
        <v>66</v>
      </c>
      <c r="M205">
        <v>78</v>
      </c>
      <c r="N205">
        <v>30.5</v>
      </c>
      <c r="O205">
        <v>1</v>
      </c>
      <c r="P205">
        <v>25</v>
      </c>
      <c r="Q205">
        <v>4</v>
      </c>
      <c r="R205">
        <f>SUM($S205:$V205)</f>
        <v>67</v>
      </c>
      <c r="S205">
        <v>20</v>
      </c>
      <c r="T205">
        <v>21</v>
      </c>
      <c r="U205">
        <v>15</v>
      </c>
      <c r="V205">
        <v>11</v>
      </c>
      <c r="W205" s="6">
        <v>75</v>
      </c>
      <c r="X205" s="6">
        <v>90</v>
      </c>
      <c r="Y205" s="6">
        <v>2.88</v>
      </c>
      <c r="Z205" s="6">
        <v>5.5</v>
      </c>
      <c r="AA205">
        <v>104831</v>
      </c>
      <c r="AB205" s="6">
        <v>114832</v>
      </c>
    </row>
    <row r="206" spans="1:29">
      <c r="A206" s="3">
        <v>11490</v>
      </c>
      <c r="B206" t="s">
        <v>209</v>
      </c>
      <c r="C206" t="s">
        <v>2567</v>
      </c>
      <c r="D206" t="s">
        <v>68</v>
      </c>
      <c r="E206">
        <v>72</v>
      </c>
      <c r="F206">
        <v>91</v>
      </c>
      <c r="G206">
        <v>45</v>
      </c>
      <c r="H206">
        <v>80</v>
      </c>
      <c r="I206">
        <v>70</v>
      </c>
      <c r="J206">
        <v>0</v>
      </c>
      <c r="K206" s="1">
        <v>94</v>
      </c>
      <c r="L206">
        <v>73</v>
      </c>
      <c r="M206">
        <v>44</v>
      </c>
      <c r="N206">
        <v>35</v>
      </c>
      <c r="O206">
        <v>3</v>
      </c>
      <c r="P206">
        <v>6</v>
      </c>
      <c r="Q206">
        <v>4</v>
      </c>
      <c r="R206" s="17">
        <f>SUM($S206:$V206)</f>
        <v>0</v>
      </c>
      <c r="S206">
        <v>0</v>
      </c>
      <c r="T206">
        <v>0</v>
      </c>
      <c r="U206">
        <v>0</v>
      </c>
      <c r="V206">
        <v>0</v>
      </c>
      <c r="W206">
        <v>60</v>
      </c>
      <c r="X206">
        <v>130</v>
      </c>
      <c r="Y206">
        <v>2.8</v>
      </c>
      <c r="Z206">
        <v>5.8</v>
      </c>
      <c r="AA206">
        <v>104901</v>
      </c>
    </row>
    <row r="207" spans="1:29">
      <c r="A207" s="28">
        <v>11496</v>
      </c>
      <c r="B207" t="s">
        <v>2229</v>
      </c>
      <c r="C207" s="28" t="s">
        <v>2230</v>
      </c>
      <c r="D207" t="s">
        <v>2218</v>
      </c>
      <c r="E207">
        <v>43</v>
      </c>
      <c r="F207">
        <v>46</v>
      </c>
      <c r="G207">
        <v>83</v>
      </c>
      <c r="H207">
        <v>42</v>
      </c>
      <c r="I207">
        <v>95</v>
      </c>
      <c r="J207">
        <v>136</v>
      </c>
      <c r="K207" s="1">
        <v>92</v>
      </c>
      <c r="L207">
        <v>91</v>
      </c>
      <c r="M207">
        <v>51</v>
      </c>
      <c r="N207">
        <v>32</v>
      </c>
      <c r="O207">
        <v>1</v>
      </c>
      <c r="P207">
        <v>10</v>
      </c>
      <c r="Q207">
        <v>3</v>
      </c>
      <c r="R207" s="17">
        <f>SUM($S207:$V207)</f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35</v>
      </c>
      <c r="Y207">
        <v>0.7</v>
      </c>
      <c r="Z207">
        <v>1.2</v>
      </c>
      <c r="AA207">
        <v>114961</v>
      </c>
    </row>
    <row r="208" spans="1:29">
      <c r="A208" s="3">
        <v>11503</v>
      </c>
      <c r="B208" t="s">
        <v>203</v>
      </c>
      <c r="C208" t="s">
        <v>2473</v>
      </c>
      <c r="D208" t="s">
        <v>68</v>
      </c>
      <c r="E208">
        <v>32</v>
      </c>
      <c r="F208">
        <v>37</v>
      </c>
      <c r="G208">
        <v>81</v>
      </c>
      <c r="H208">
        <v>36</v>
      </c>
      <c r="I208">
        <v>65</v>
      </c>
      <c r="J208">
        <v>71</v>
      </c>
      <c r="K208" s="1">
        <v>92</v>
      </c>
      <c r="L208">
        <v>90</v>
      </c>
      <c r="M208">
        <v>36</v>
      </c>
      <c r="N208">
        <v>33.5</v>
      </c>
      <c r="O208">
        <v>1</v>
      </c>
      <c r="P208">
        <v>24</v>
      </c>
      <c r="Q208">
        <v>3</v>
      </c>
      <c r="R208" s="17">
        <f>SUM($S208:$V208)</f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0.8</v>
      </c>
      <c r="AA208">
        <v>115031</v>
      </c>
    </row>
    <row r="209" spans="1:28">
      <c r="A209" s="3">
        <v>11509</v>
      </c>
      <c r="B209" t="s">
        <v>212</v>
      </c>
      <c r="C209" t="s">
        <v>2859</v>
      </c>
      <c r="D209" t="s">
        <v>80</v>
      </c>
      <c r="E209">
        <v>40</v>
      </c>
      <c r="F209">
        <v>46</v>
      </c>
      <c r="G209">
        <v>0</v>
      </c>
      <c r="H209">
        <v>39</v>
      </c>
      <c r="I209">
        <v>90</v>
      </c>
      <c r="J209">
        <v>74</v>
      </c>
      <c r="K209" s="1">
        <v>107</v>
      </c>
      <c r="L209">
        <v>85</v>
      </c>
      <c r="M209">
        <v>51</v>
      </c>
      <c r="N209">
        <v>34.5</v>
      </c>
      <c r="O209">
        <v>1</v>
      </c>
      <c r="P209">
        <v>16</v>
      </c>
      <c r="Q209">
        <v>3</v>
      </c>
      <c r="R209" s="17">
        <f>SUM($S209:$V209)</f>
        <v>48</v>
      </c>
      <c r="S209">
        <v>16</v>
      </c>
      <c r="T209">
        <v>16</v>
      </c>
      <c r="U209">
        <v>16</v>
      </c>
      <c r="V209">
        <v>0</v>
      </c>
      <c r="W209">
        <v>15</v>
      </c>
      <c r="X209">
        <v>40</v>
      </c>
      <c r="Y209">
        <v>0.5</v>
      </c>
      <c r="Z209">
        <v>0.9</v>
      </c>
      <c r="AA209">
        <v>115091</v>
      </c>
    </row>
    <row r="210" spans="1:28">
      <c r="A210" s="28">
        <v>11516</v>
      </c>
      <c r="B210" t="s">
        <v>204</v>
      </c>
      <c r="C210" s="28" t="s">
        <v>2712</v>
      </c>
      <c r="D210" t="s">
        <v>80</v>
      </c>
      <c r="E210">
        <v>52</v>
      </c>
      <c r="F210">
        <v>66</v>
      </c>
      <c r="G210">
        <v>0</v>
      </c>
      <c r="H210">
        <v>58</v>
      </c>
      <c r="I210">
        <v>112</v>
      </c>
      <c r="J210">
        <v>84</v>
      </c>
      <c r="K210" s="1">
        <v>98</v>
      </c>
      <c r="L210">
        <v>76</v>
      </c>
      <c r="M210">
        <v>41</v>
      </c>
      <c r="N210">
        <v>32</v>
      </c>
      <c r="O210">
        <v>2</v>
      </c>
      <c r="P210">
        <v>18</v>
      </c>
      <c r="Q210">
        <v>4</v>
      </c>
      <c r="R210" s="17">
        <f>SUM($S210:$V210)</f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45</v>
      </c>
      <c r="Y210">
        <v>0.9</v>
      </c>
      <c r="Z210">
        <v>1.6</v>
      </c>
      <c r="AA210">
        <v>115161</v>
      </c>
    </row>
    <row r="211" spans="1:28">
      <c r="A211" s="3">
        <v>11517</v>
      </c>
      <c r="B211" t="s">
        <v>203</v>
      </c>
      <c r="C211" t="s">
        <v>2387</v>
      </c>
      <c r="D211" t="s">
        <v>68</v>
      </c>
      <c r="E211">
        <v>36</v>
      </c>
      <c r="F211">
        <v>40</v>
      </c>
      <c r="G211">
        <v>75</v>
      </c>
      <c r="H211">
        <v>37</v>
      </c>
      <c r="I211">
        <v>89</v>
      </c>
      <c r="J211">
        <v>128</v>
      </c>
      <c r="K211" s="1">
        <v>92</v>
      </c>
      <c r="L211">
        <v>90</v>
      </c>
      <c r="M211">
        <v>37</v>
      </c>
      <c r="N211">
        <v>32</v>
      </c>
      <c r="O211">
        <v>1</v>
      </c>
      <c r="P211">
        <v>10</v>
      </c>
      <c r="Q211">
        <v>3</v>
      </c>
      <c r="R211" s="17">
        <f>SUM($S211:$V211)</f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0.9</v>
      </c>
      <c r="AA211">
        <v>115171</v>
      </c>
    </row>
    <row r="212" spans="1:28">
      <c r="A212" s="3">
        <v>11519</v>
      </c>
      <c r="B212" t="s">
        <v>203</v>
      </c>
      <c r="C212" t="s">
        <v>2860</v>
      </c>
      <c r="D212" s="3" t="s">
        <v>1935</v>
      </c>
      <c r="E212" s="6">
        <v>28</v>
      </c>
      <c r="F212" s="6">
        <v>32</v>
      </c>
      <c r="G212" s="6">
        <v>73</v>
      </c>
      <c r="H212" s="6">
        <v>33</v>
      </c>
      <c r="I212" s="6">
        <v>46</v>
      </c>
      <c r="J212" s="6">
        <v>57</v>
      </c>
      <c r="K212" s="10">
        <v>93</v>
      </c>
      <c r="L212" s="6">
        <v>92</v>
      </c>
      <c r="M212" s="6">
        <v>40</v>
      </c>
      <c r="N212" s="6">
        <v>30</v>
      </c>
      <c r="O212" s="6">
        <v>1</v>
      </c>
      <c r="P212" s="6">
        <v>6</v>
      </c>
      <c r="Q212" s="6">
        <v>3</v>
      </c>
      <c r="R212" s="17">
        <f>SUM($S212:$V212)</f>
        <v>0</v>
      </c>
      <c r="S212" s="6">
        <v>0</v>
      </c>
      <c r="T212" s="6">
        <v>0</v>
      </c>
      <c r="U212" s="6">
        <v>0</v>
      </c>
      <c r="V212" s="6">
        <v>0</v>
      </c>
      <c r="W212" s="6">
        <v>10</v>
      </c>
      <c r="X212" s="6">
        <v>15</v>
      </c>
      <c r="Y212" s="6">
        <v>0.45</v>
      </c>
      <c r="Z212" s="6">
        <v>0.8</v>
      </c>
      <c r="AA212" s="6">
        <v>115191</v>
      </c>
      <c r="AB212" s="6"/>
    </row>
    <row r="213" spans="1:28">
      <c r="A213" s="28">
        <v>11527</v>
      </c>
      <c r="B213" t="s">
        <v>204</v>
      </c>
      <c r="C213" s="28" t="s">
        <v>2711</v>
      </c>
      <c r="D213" t="s">
        <v>1935</v>
      </c>
      <c r="E213">
        <v>43</v>
      </c>
      <c r="F213">
        <v>56</v>
      </c>
      <c r="G213">
        <v>55</v>
      </c>
      <c r="H213">
        <v>49</v>
      </c>
      <c r="I213">
        <v>52</v>
      </c>
      <c r="J213">
        <v>69</v>
      </c>
      <c r="K213" s="1">
        <v>97</v>
      </c>
      <c r="L213">
        <v>70</v>
      </c>
      <c r="M213">
        <v>19</v>
      </c>
      <c r="N213">
        <v>28</v>
      </c>
      <c r="O213">
        <v>2</v>
      </c>
      <c r="P213">
        <v>6</v>
      </c>
      <c r="Q213">
        <v>3</v>
      </c>
      <c r="R213" s="17">
        <f>SUM($S213:$V213)</f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25</v>
      </c>
      <c r="Y213">
        <v>0.7</v>
      </c>
      <c r="Z213">
        <v>1.3</v>
      </c>
      <c r="AA213">
        <v>115271</v>
      </c>
    </row>
    <row r="214" spans="1:28">
      <c r="A214" s="3">
        <v>11528</v>
      </c>
      <c r="B214" t="s">
        <v>2246</v>
      </c>
      <c r="C214" s="28" t="s">
        <v>2248</v>
      </c>
      <c r="D214" t="s">
        <v>67</v>
      </c>
      <c r="E214">
        <v>60</v>
      </c>
      <c r="F214">
        <v>61</v>
      </c>
      <c r="G214">
        <v>0</v>
      </c>
      <c r="H214">
        <v>68</v>
      </c>
      <c r="I214">
        <v>112</v>
      </c>
      <c r="J214">
        <v>0</v>
      </c>
      <c r="K214" s="1">
        <v>99</v>
      </c>
      <c r="L214">
        <v>85</v>
      </c>
      <c r="M214">
        <v>54</v>
      </c>
      <c r="N214">
        <v>33</v>
      </c>
      <c r="O214">
        <v>2</v>
      </c>
      <c r="P214">
        <v>18</v>
      </c>
      <c r="Q214">
        <v>4</v>
      </c>
      <c r="R214" s="17">
        <f>SUM($S214:$V214)</f>
        <v>48</v>
      </c>
      <c r="S214">
        <v>12</v>
      </c>
      <c r="T214">
        <v>12</v>
      </c>
      <c r="U214">
        <v>12</v>
      </c>
      <c r="V214">
        <v>12</v>
      </c>
      <c r="W214">
        <v>40</v>
      </c>
      <c r="X214">
        <v>70</v>
      </c>
      <c r="Y214">
        <v>1.28</v>
      </c>
      <c r="Z214">
        <v>2.4</v>
      </c>
      <c r="AA214">
        <v>115281</v>
      </c>
    </row>
    <row r="215" spans="1:28">
      <c r="A215" s="3">
        <v>11530</v>
      </c>
      <c r="B215" t="s">
        <v>208</v>
      </c>
      <c r="C215" t="s">
        <v>2568</v>
      </c>
      <c r="D215" t="s">
        <v>80</v>
      </c>
      <c r="E215">
        <v>12</v>
      </c>
      <c r="F215">
        <v>23</v>
      </c>
      <c r="G215">
        <v>73</v>
      </c>
      <c r="H215">
        <v>30</v>
      </c>
      <c r="I215">
        <v>0</v>
      </c>
      <c r="J215">
        <v>0</v>
      </c>
      <c r="K215" s="1">
        <v>108</v>
      </c>
      <c r="L215">
        <v>78</v>
      </c>
      <c r="M215">
        <v>52</v>
      </c>
      <c r="N215">
        <v>16</v>
      </c>
      <c r="O215">
        <v>1</v>
      </c>
      <c r="P215">
        <v>15</v>
      </c>
      <c r="Q215">
        <v>3</v>
      </c>
      <c r="R215" s="17">
        <f>SUM($S215:$V215)</f>
        <v>0</v>
      </c>
      <c r="S215">
        <v>0</v>
      </c>
      <c r="T215">
        <v>0</v>
      </c>
      <c r="U215">
        <v>0</v>
      </c>
      <c r="V215">
        <v>0</v>
      </c>
      <c r="W215">
        <v>20</v>
      </c>
      <c r="X215">
        <v>20</v>
      </c>
      <c r="Y215">
        <v>0.6</v>
      </c>
      <c r="Z215">
        <v>0.65</v>
      </c>
      <c r="AA215">
        <v>115301</v>
      </c>
    </row>
    <row r="216" spans="1:28">
      <c r="A216" s="3">
        <v>11532</v>
      </c>
      <c r="B216" t="s">
        <v>206</v>
      </c>
      <c r="C216" t="s">
        <v>2464</v>
      </c>
      <c r="D216" t="s">
        <v>71</v>
      </c>
      <c r="E216">
        <v>56</v>
      </c>
      <c r="F216">
        <v>88</v>
      </c>
      <c r="G216">
        <v>0</v>
      </c>
      <c r="H216">
        <v>84</v>
      </c>
      <c r="I216">
        <v>53</v>
      </c>
      <c r="J216">
        <v>0</v>
      </c>
      <c r="K216" s="1">
        <v>100</v>
      </c>
      <c r="L216">
        <v>51</v>
      </c>
      <c r="M216">
        <v>42</v>
      </c>
      <c r="N216">
        <v>22</v>
      </c>
      <c r="O216">
        <v>3</v>
      </c>
      <c r="P216">
        <v>16</v>
      </c>
      <c r="Q216">
        <v>4</v>
      </c>
      <c r="R216" s="17">
        <f>SUM($S216:$V216)</f>
        <v>0</v>
      </c>
      <c r="S216">
        <v>0</v>
      </c>
      <c r="T216">
        <v>0</v>
      </c>
      <c r="U216">
        <v>0</v>
      </c>
      <c r="V216">
        <v>0</v>
      </c>
      <c r="W216">
        <v>75</v>
      </c>
      <c r="X216">
        <v>105</v>
      </c>
      <c r="Y216">
        <v>2.25</v>
      </c>
      <c r="Z216">
        <v>4.5999999999999996</v>
      </c>
      <c r="AA216">
        <v>105321</v>
      </c>
      <c r="AB216">
        <v>115322</v>
      </c>
    </row>
    <row r="217" spans="1:28">
      <c r="A217" s="3">
        <v>11538</v>
      </c>
      <c r="B217" t="s">
        <v>208</v>
      </c>
      <c r="C217" t="s">
        <v>2569</v>
      </c>
      <c r="D217" t="s">
        <v>3</v>
      </c>
      <c r="E217">
        <v>21</v>
      </c>
      <c r="F217">
        <v>24</v>
      </c>
      <c r="G217">
        <v>95</v>
      </c>
      <c r="H217">
        <v>27</v>
      </c>
      <c r="I217">
        <v>0</v>
      </c>
      <c r="J217">
        <v>0</v>
      </c>
      <c r="K217" s="1">
        <v>103</v>
      </c>
      <c r="L217">
        <v>44</v>
      </c>
      <c r="M217">
        <v>53</v>
      </c>
      <c r="N217">
        <v>23.6</v>
      </c>
      <c r="O217">
        <v>1</v>
      </c>
      <c r="P217">
        <v>13</v>
      </c>
      <c r="Q217">
        <v>3</v>
      </c>
      <c r="R217" s="17">
        <f>SUM($S217:$V217)</f>
        <v>0</v>
      </c>
      <c r="S217">
        <v>0</v>
      </c>
      <c r="T217">
        <v>0</v>
      </c>
      <c r="U217">
        <v>0</v>
      </c>
      <c r="V217">
        <v>0</v>
      </c>
      <c r="W217">
        <v>25</v>
      </c>
      <c r="X217">
        <v>30</v>
      </c>
      <c r="Y217">
        <v>0.6</v>
      </c>
      <c r="Z217">
        <v>0.7</v>
      </c>
      <c r="AA217">
        <v>115381</v>
      </c>
    </row>
    <row r="218" spans="1:28">
      <c r="A218" s="3">
        <v>11545</v>
      </c>
      <c r="B218" t="s">
        <v>90</v>
      </c>
      <c r="C218" t="s">
        <v>2474</v>
      </c>
      <c r="D218" t="s">
        <v>68</v>
      </c>
      <c r="E218">
        <v>68</v>
      </c>
      <c r="F218">
        <v>40</v>
      </c>
      <c r="G218">
        <v>0</v>
      </c>
      <c r="H218">
        <v>57</v>
      </c>
      <c r="I218">
        <v>75</v>
      </c>
      <c r="J218">
        <v>0</v>
      </c>
      <c r="K218" s="1">
        <v>95</v>
      </c>
      <c r="L218">
        <v>83</v>
      </c>
      <c r="M218">
        <v>72</v>
      </c>
      <c r="N218">
        <v>32</v>
      </c>
      <c r="O218">
        <v>1</v>
      </c>
      <c r="P218">
        <v>7</v>
      </c>
      <c r="Q218">
        <v>3</v>
      </c>
      <c r="R218" s="17">
        <f>SUM($S218:$V218)</f>
        <v>32</v>
      </c>
      <c r="S218">
        <v>11</v>
      </c>
      <c r="T218">
        <v>11</v>
      </c>
      <c r="U218">
        <v>10</v>
      </c>
      <c r="V218">
        <v>0</v>
      </c>
      <c r="W218">
        <v>35</v>
      </c>
      <c r="X218">
        <v>70</v>
      </c>
      <c r="Y218">
        <v>1.3</v>
      </c>
      <c r="Z218">
        <v>2.64</v>
      </c>
      <c r="AA218">
        <v>115451</v>
      </c>
    </row>
    <row r="219" spans="1:28">
      <c r="A219" s="3">
        <v>11560</v>
      </c>
      <c r="B219" t="s">
        <v>2570</v>
      </c>
      <c r="C219" t="s">
        <v>2571</v>
      </c>
      <c r="D219" t="s">
        <v>68</v>
      </c>
      <c r="E219">
        <v>68</v>
      </c>
      <c r="F219">
        <v>74</v>
      </c>
      <c r="G219">
        <v>0</v>
      </c>
      <c r="H219">
        <v>74</v>
      </c>
      <c r="I219">
        <v>60</v>
      </c>
      <c r="J219">
        <v>0</v>
      </c>
      <c r="K219" s="1">
        <v>99</v>
      </c>
      <c r="L219">
        <v>56</v>
      </c>
      <c r="M219">
        <v>26</v>
      </c>
      <c r="N219">
        <v>18</v>
      </c>
      <c r="O219">
        <v>3</v>
      </c>
      <c r="P219">
        <v>21</v>
      </c>
      <c r="Q219">
        <v>3</v>
      </c>
      <c r="R219" s="17">
        <f>SUM($S219:$V219)</f>
        <v>0</v>
      </c>
      <c r="S219">
        <v>0</v>
      </c>
      <c r="T219">
        <v>0</v>
      </c>
      <c r="U219">
        <v>0</v>
      </c>
      <c r="V219">
        <v>0</v>
      </c>
      <c r="W219">
        <v>40</v>
      </c>
      <c r="X219">
        <v>65</v>
      </c>
      <c r="Y219">
        <v>1.3</v>
      </c>
      <c r="Z219">
        <v>1.2</v>
      </c>
      <c r="AA219">
        <v>115601</v>
      </c>
    </row>
    <row r="220" spans="1:28">
      <c r="A220" s="3">
        <v>11575</v>
      </c>
      <c r="B220" t="s">
        <v>212</v>
      </c>
      <c r="C220" t="s">
        <v>2572</v>
      </c>
      <c r="D220" t="s">
        <v>80</v>
      </c>
      <c r="E220">
        <v>40</v>
      </c>
      <c r="F220">
        <v>46</v>
      </c>
      <c r="G220">
        <v>0</v>
      </c>
      <c r="H220">
        <v>39</v>
      </c>
      <c r="I220">
        <v>94</v>
      </c>
      <c r="J220">
        <v>74</v>
      </c>
      <c r="K220" s="1">
        <v>107</v>
      </c>
      <c r="L220">
        <v>86</v>
      </c>
      <c r="M220">
        <v>48</v>
      </c>
      <c r="N220">
        <v>35</v>
      </c>
      <c r="O220">
        <v>1</v>
      </c>
      <c r="P220">
        <v>17</v>
      </c>
      <c r="Q220">
        <v>3</v>
      </c>
      <c r="R220" s="17">
        <f>SUM($S220:$V220)</f>
        <v>48</v>
      </c>
      <c r="S220">
        <v>16</v>
      </c>
      <c r="T220">
        <v>16</v>
      </c>
      <c r="U220">
        <v>16</v>
      </c>
      <c r="V220">
        <v>0</v>
      </c>
      <c r="W220">
        <v>15</v>
      </c>
      <c r="X220">
        <v>40</v>
      </c>
      <c r="Y220">
        <v>0.5</v>
      </c>
      <c r="Z220">
        <v>0.9</v>
      </c>
      <c r="AA220">
        <v>115751</v>
      </c>
    </row>
    <row r="221" spans="1:28">
      <c r="A221" s="3">
        <v>11590</v>
      </c>
      <c r="B221" t="s">
        <v>209</v>
      </c>
      <c r="C221" t="s">
        <v>2710</v>
      </c>
      <c r="D221" t="s">
        <v>80</v>
      </c>
      <c r="E221">
        <v>80</v>
      </c>
      <c r="F221">
        <v>120</v>
      </c>
      <c r="G221">
        <v>0</v>
      </c>
      <c r="H221">
        <v>91</v>
      </c>
      <c r="I221">
        <v>66</v>
      </c>
      <c r="J221">
        <v>0</v>
      </c>
      <c r="K221" s="1">
        <v>100</v>
      </c>
      <c r="L221">
        <v>72</v>
      </c>
      <c r="M221">
        <v>44</v>
      </c>
      <c r="N221">
        <v>28.5</v>
      </c>
      <c r="O221">
        <v>3</v>
      </c>
      <c r="P221">
        <v>9</v>
      </c>
      <c r="Q221">
        <v>4</v>
      </c>
      <c r="R221" s="17">
        <f>SUM($S221:$V221)</f>
        <v>0</v>
      </c>
      <c r="S221">
        <v>0</v>
      </c>
      <c r="T221">
        <v>0</v>
      </c>
      <c r="U221">
        <v>0</v>
      </c>
      <c r="V221">
        <v>0</v>
      </c>
      <c r="W221">
        <v>75</v>
      </c>
      <c r="X221">
        <v>125</v>
      </c>
      <c r="Y221">
        <v>2.8</v>
      </c>
      <c r="Z221">
        <v>5</v>
      </c>
      <c r="AA221">
        <v>105901</v>
      </c>
      <c r="AB221">
        <v>115902</v>
      </c>
    </row>
    <row r="222" spans="1:28">
      <c r="A222" s="3">
        <v>11606</v>
      </c>
      <c r="B222" t="s">
        <v>211</v>
      </c>
      <c r="C222" t="s">
        <v>2817</v>
      </c>
      <c r="D222" t="s">
        <v>68</v>
      </c>
      <c r="E222">
        <v>43</v>
      </c>
      <c r="F222">
        <v>45</v>
      </c>
      <c r="G222">
        <v>0</v>
      </c>
      <c r="H222">
        <v>43</v>
      </c>
      <c r="I222">
        <v>97</v>
      </c>
      <c r="J222">
        <v>0</v>
      </c>
      <c r="K222" s="1">
        <v>100</v>
      </c>
      <c r="L222">
        <v>97</v>
      </c>
      <c r="M222">
        <v>42</v>
      </c>
      <c r="N222">
        <v>35</v>
      </c>
      <c r="O222">
        <v>1</v>
      </c>
      <c r="P222">
        <v>15</v>
      </c>
      <c r="Q222">
        <v>3</v>
      </c>
      <c r="R222" s="17">
        <f>SUM($S222:$V222)</f>
        <v>24</v>
      </c>
      <c r="S222">
        <v>8</v>
      </c>
      <c r="T222">
        <v>8</v>
      </c>
      <c r="U222">
        <v>8</v>
      </c>
      <c r="V222">
        <v>0</v>
      </c>
      <c r="W222">
        <v>30</v>
      </c>
      <c r="X222">
        <v>60</v>
      </c>
      <c r="Y222">
        <v>0.6</v>
      </c>
      <c r="Z222">
        <v>1</v>
      </c>
      <c r="AA222">
        <v>116061</v>
      </c>
    </row>
    <row r="223" spans="1:28">
      <c r="A223" s="3">
        <v>11618</v>
      </c>
      <c r="B223" t="s">
        <v>212</v>
      </c>
      <c r="C223" t="s">
        <v>3101</v>
      </c>
      <c r="D223" t="s">
        <v>67</v>
      </c>
      <c r="E223">
        <v>44</v>
      </c>
      <c r="F223">
        <v>45</v>
      </c>
      <c r="G223">
        <v>0</v>
      </c>
      <c r="H223">
        <v>47</v>
      </c>
      <c r="I223">
        <v>99</v>
      </c>
      <c r="J223">
        <v>124</v>
      </c>
      <c r="K223" s="1">
        <v>105</v>
      </c>
      <c r="L223">
        <v>95</v>
      </c>
      <c r="M223">
        <v>42</v>
      </c>
      <c r="N223">
        <v>34</v>
      </c>
      <c r="O223">
        <v>1</v>
      </c>
      <c r="P223">
        <v>16</v>
      </c>
      <c r="Q223">
        <v>3</v>
      </c>
      <c r="R223" s="17">
        <f>SUM($S223:$V223)</f>
        <v>60</v>
      </c>
      <c r="S223">
        <v>20</v>
      </c>
      <c r="T223">
        <v>20</v>
      </c>
      <c r="U223">
        <v>20</v>
      </c>
      <c r="V223">
        <v>0</v>
      </c>
      <c r="W223">
        <v>30</v>
      </c>
      <c r="X223">
        <v>40</v>
      </c>
      <c r="Y223">
        <v>0.7</v>
      </c>
      <c r="Z223">
        <v>1.2</v>
      </c>
      <c r="AA223">
        <v>116181</v>
      </c>
    </row>
  </sheetData>
  <autoFilter ref="A1:AC206" xr:uid="{00000000-0009-0000-0000-000001000000}">
    <sortState xmlns:xlrd2="http://schemas.microsoft.com/office/spreadsheetml/2017/richdata2" ref="A2:AC223">
      <sortCondition ref="A1:A223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:C223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1"/>
  <sheetViews>
    <sheetView workbookViewId="0">
      <pane xSplit="4" ySplit="1" topLeftCell="Q602" activePane="bottomRight" state="frozen"/>
      <selection pane="topRight" activeCell="E1" sqref="E1"/>
      <selection pane="bottomLeft" activeCell="A2" sqref="A2"/>
      <selection pane="bottomRight" activeCell="C626" sqref="C626"/>
    </sheetView>
  </sheetViews>
  <sheetFormatPr baseColWidth="10" defaultColWidth="9" defaultRowHeight="15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>
      <c r="A17" s="2" t="s">
        <v>2494</v>
      </c>
      <c r="B17" t="s">
        <v>1666</v>
      </c>
      <c r="C17" t="s">
        <v>2496</v>
      </c>
      <c r="D17" t="s">
        <v>1678</v>
      </c>
      <c r="F17">
        <v>29</v>
      </c>
      <c r="L17">
        <v>3</v>
      </c>
      <c r="Q17">
        <v>1</v>
      </c>
    </row>
    <row r="18" spans="1:27">
      <c r="A18" s="2" t="s">
        <v>2495</v>
      </c>
      <c r="B18" t="s">
        <v>1666</v>
      </c>
      <c r="C18" t="s">
        <v>2497</v>
      </c>
      <c r="D18" t="s">
        <v>1678</v>
      </c>
      <c r="F18">
        <v>29</v>
      </c>
      <c r="L18">
        <v>4</v>
      </c>
      <c r="Q18">
        <v>1</v>
      </c>
    </row>
    <row r="19" spans="1:27">
      <c r="A19" s="2" t="s">
        <v>2643</v>
      </c>
      <c r="B19" t="s">
        <v>1666</v>
      </c>
      <c r="C19" t="s">
        <v>2497</v>
      </c>
      <c r="D19" t="s">
        <v>1678</v>
      </c>
      <c r="F19">
        <v>40</v>
      </c>
      <c r="L19">
        <v>4</v>
      </c>
      <c r="Q19">
        <v>1</v>
      </c>
    </row>
    <row r="20" spans="1:27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>
      <c r="A230" s="2" t="s">
        <v>1229</v>
      </c>
      <c r="B230" t="s">
        <v>293</v>
      </c>
      <c r="C230" t="s">
        <v>2551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2335</v>
      </c>
    </row>
    <row r="373" spans="1:27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2419</v>
      </c>
      <c r="X446" t="s">
        <v>282</v>
      </c>
      <c r="Z446" t="s">
        <v>282</v>
      </c>
      <c r="AA446" t="s">
        <v>2420</v>
      </c>
    </row>
    <row r="447" spans="1:27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>
      <c r="A539" s="2" t="s">
        <v>1538</v>
      </c>
      <c r="B539" t="s">
        <v>295</v>
      </c>
      <c r="C539" t="s">
        <v>2334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>
      <c r="A555" s="2" t="s">
        <v>2953</v>
      </c>
      <c r="B555" t="s">
        <v>1666</v>
      </c>
      <c r="C555" t="s">
        <v>2952</v>
      </c>
      <c r="D555" t="s">
        <v>281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Y555"/>
      <c r="AA555" t="s">
        <v>1800</v>
      </c>
    </row>
    <row r="556" spans="1:27">
      <c r="A556" s="2" t="s">
        <v>2159</v>
      </c>
      <c r="B556" t="s">
        <v>490</v>
      </c>
      <c r="C556" t="s">
        <v>2160</v>
      </c>
      <c r="D556" s="5" t="s">
        <v>289</v>
      </c>
      <c r="H556">
        <v>6</v>
      </c>
      <c r="M556">
        <v>2</v>
      </c>
      <c r="N556">
        <v>2</v>
      </c>
      <c r="Q556">
        <v>1</v>
      </c>
    </row>
    <row r="557" spans="1:27">
      <c r="A557" s="2" t="s">
        <v>2957</v>
      </c>
      <c r="B557" t="s">
        <v>1666</v>
      </c>
      <c r="C557" t="s">
        <v>2954</v>
      </c>
      <c r="D557" t="s">
        <v>281</v>
      </c>
      <c r="F557">
        <v>8</v>
      </c>
      <c r="L557">
        <v>2</v>
      </c>
      <c r="Q557">
        <v>1</v>
      </c>
      <c r="Y557"/>
    </row>
    <row r="558" spans="1:27">
      <c r="A558" s="2" t="s">
        <v>2958</v>
      </c>
      <c r="B558" t="s">
        <v>2955</v>
      </c>
      <c r="C558" t="s">
        <v>2956</v>
      </c>
      <c r="D558" t="s">
        <v>285</v>
      </c>
      <c r="K558">
        <v>2</v>
      </c>
      <c r="O558">
        <v>5</v>
      </c>
      <c r="P558">
        <v>9</v>
      </c>
      <c r="Q558">
        <v>1</v>
      </c>
      <c r="V558">
        <v>5</v>
      </c>
      <c r="Y558"/>
      <c r="AA558" t="s">
        <v>1705</v>
      </c>
    </row>
    <row r="559" spans="1:27">
      <c r="A559" s="2" t="s">
        <v>2117</v>
      </c>
      <c r="B559" t="s">
        <v>485</v>
      </c>
      <c r="C559" t="s">
        <v>2118</v>
      </c>
      <c r="D559" s="5" t="s">
        <v>268</v>
      </c>
      <c r="G559">
        <v>13</v>
      </c>
      <c r="I559">
        <v>5</v>
      </c>
      <c r="K559">
        <v>2</v>
      </c>
      <c r="Q559">
        <v>1</v>
      </c>
    </row>
    <row r="560" spans="1:27">
      <c r="A560" s="2" t="s">
        <v>2082</v>
      </c>
      <c r="B560" t="s">
        <v>1666</v>
      </c>
      <c r="C560" t="s">
        <v>2081</v>
      </c>
      <c r="D560" s="5" t="s">
        <v>281</v>
      </c>
      <c r="F560">
        <v>12</v>
      </c>
      <c r="K560">
        <v>3</v>
      </c>
      <c r="L560">
        <v>3</v>
      </c>
      <c r="Q560">
        <v>1</v>
      </c>
    </row>
    <row r="561" spans="1:27">
      <c r="A561" s="2" t="s">
        <v>2960</v>
      </c>
      <c r="B561" t="s">
        <v>303</v>
      </c>
      <c r="C561" t="s">
        <v>2959</v>
      </c>
      <c r="D561" t="s">
        <v>284</v>
      </c>
      <c r="G561">
        <v>15</v>
      </c>
      <c r="I561">
        <v>4</v>
      </c>
      <c r="K561">
        <v>2</v>
      </c>
      <c r="Q561">
        <v>1</v>
      </c>
      <c r="V561">
        <v>6</v>
      </c>
      <c r="Y561"/>
      <c r="AA561" t="s">
        <v>1706</v>
      </c>
    </row>
    <row r="562" spans="1:27">
      <c r="A562" s="2" t="s">
        <v>2112</v>
      </c>
      <c r="B562" t="s">
        <v>1666</v>
      </c>
      <c r="C562" t="s">
        <v>2111</v>
      </c>
      <c r="D562" s="5" t="s">
        <v>281</v>
      </c>
      <c r="F562">
        <v>8</v>
      </c>
      <c r="K562">
        <v>2</v>
      </c>
      <c r="L562">
        <v>2</v>
      </c>
      <c r="Q562">
        <v>1</v>
      </c>
    </row>
    <row r="563" spans="1:27">
      <c r="A563" s="2" t="s">
        <v>2969</v>
      </c>
      <c r="B563" t="s">
        <v>490</v>
      </c>
      <c r="C563" t="s">
        <v>2961</v>
      </c>
      <c r="D563" t="s">
        <v>289</v>
      </c>
      <c r="M563">
        <v>13</v>
      </c>
      <c r="N563">
        <v>2</v>
      </c>
      <c r="Q563">
        <v>1</v>
      </c>
      <c r="Y563"/>
    </row>
    <row r="564" spans="1:27">
      <c r="A564" s="2" t="s">
        <v>2970</v>
      </c>
      <c r="B564" t="s">
        <v>490</v>
      </c>
      <c r="C564" t="s">
        <v>2962</v>
      </c>
      <c r="D564" t="s">
        <v>289</v>
      </c>
      <c r="F564">
        <v>3</v>
      </c>
      <c r="M564">
        <v>3</v>
      </c>
      <c r="N564">
        <v>1</v>
      </c>
      <c r="Q564">
        <v>1</v>
      </c>
      <c r="Y564"/>
    </row>
    <row r="565" spans="1:27">
      <c r="A565" s="2" t="s">
        <v>2971</v>
      </c>
      <c r="B565" t="s">
        <v>2963</v>
      </c>
      <c r="C565" t="s">
        <v>2964</v>
      </c>
      <c r="D565" t="s">
        <v>286</v>
      </c>
      <c r="M565">
        <v>1</v>
      </c>
      <c r="O565">
        <v>17</v>
      </c>
      <c r="Q565">
        <v>1</v>
      </c>
      <c r="V565">
        <v>9</v>
      </c>
      <c r="Y565"/>
      <c r="AA565" t="s">
        <v>1721</v>
      </c>
    </row>
    <row r="566" spans="1:27">
      <c r="A566" s="2" t="s">
        <v>2972</v>
      </c>
      <c r="B566" t="s">
        <v>2955</v>
      </c>
      <c r="C566" t="s">
        <v>2965</v>
      </c>
      <c r="D566" t="s">
        <v>285</v>
      </c>
      <c r="N566">
        <v>1</v>
      </c>
      <c r="P566">
        <v>14</v>
      </c>
      <c r="Q566">
        <v>1</v>
      </c>
      <c r="V566">
        <v>7</v>
      </c>
      <c r="Y566"/>
      <c r="AA566" t="s">
        <v>1732</v>
      </c>
    </row>
    <row r="567" spans="1:27">
      <c r="A567" s="2" t="s">
        <v>2973</v>
      </c>
      <c r="B567" t="s">
        <v>303</v>
      </c>
      <c r="C567" t="s">
        <v>2966</v>
      </c>
      <c r="D567" t="s">
        <v>284</v>
      </c>
      <c r="G567">
        <v>5</v>
      </c>
      <c r="I567">
        <v>10</v>
      </c>
      <c r="J567">
        <v>2</v>
      </c>
      <c r="Q567">
        <v>1</v>
      </c>
      <c r="V567">
        <v>5</v>
      </c>
      <c r="Y567"/>
      <c r="AA567" t="s">
        <v>1705</v>
      </c>
    </row>
    <row r="568" spans="1:27">
      <c r="A568" s="2" t="s">
        <v>2974</v>
      </c>
      <c r="B568" t="s">
        <v>2955</v>
      </c>
      <c r="C568" t="s">
        <v>2967</v>
      </c>
      <c r="D568" t="s">
        <v>285</v>
      </c>
      <c r="M568">
        <v>3</v>
      </c>
      <c r="P568">
        <v>12</v>
      </c>
      <c r="Q568">
        <v>1</v>
      </c>
      <c r="V568">
        <v>6</v>
      </c>
      <c r="Y568"/>
      <c r="AA568" t="s">
        <v>1706</v>
      </c>
    </row>
    <row r="569" spans="1:27">
      <c r="A569" s="2" t="s">
        <v>2975</v>
      </c>
      <c r="B569" t="s">
        <v>303</v>
      </c>
      <c r="C569" t="s">
        <v>2968</v>
      </c>
      <c r="D569" t="s">
        <v>284</v>
      </c>
      <c r="G569">
        <v>12</v>
      </c>
      <c r="I569">
        <v>2</v>
      </c>
      <c r="P569">
        <v>4</v>
      </c>
      <c r="Q569">
        <v>1</v>
      </c>
      <c r="V569">
        <v>6</v>
      </c>
      <c r="Y569"/>
      <c r="AA569" t="s">
        <v>1706</v>
      </c>
    </row>
    <row r="570" spans="1:27">
      <c r="A570" s="2" t="s">
        <v>2084</v>
      </c>
      <c r="B570" t="s">
        <v>1666</v>
      </c>
      <c r="C570" t="s">
        <v>2083</v>
      </c>
      <c r="D570" s="5" t="s">
        <v>281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7">
      <c r="A571" s="2" t="s">
        <v>2086</v>
      </c>
      <c r="B571" t="s">
        <v>1680</v>
      </c>
      <c r="C571" t="s">
        <v>2085</v>
      </c>
      <c r="D571" s="5" t="s">
        <v>1557</v>
      </c>
      <c r="F571">
        <v>10</v>
      </c>
      <c r="K571">
        <v>2</v>
      </c>
      <c r="Q571">
        <v>1</v>
      </c>
    </row>
    <row r="572" spans="1:27">
      <c r="A572" s="2" t="s">
        <v>2979</v>
      </c>
      <c r="B572" t="s">
        <v>2976</v>
      </c>
      <c r="C572" t="s">
        <v>2977</v>
      </c>
      <c r="D572" t="s">
        <v>268</v>
      </c>
      <c r="G572">
        <v>6</v>
      </c>
      <c r="I572">
        <v>10</v>
      </c>
      <c r="M572">
        <v>2</v>
      </c>
      <c r="Q572">
        <v>1</v>
      </c>
      <c r="Y572"/>
    </row>
    <row r="573" spans="1:27">
      <c r="A573" s="2" t="s">
        <v>2980</v>
      </c>
      <c r="B573" t="s">
        <v>490</v>
      </c>
      <c r="C573" t="s">
        <v>2978</v>
      </c>
      <c r="D573" t="s">
        <v>289</v>
      </c>
      <c r="G573">
        <v>3</v>
      </c>
      <c r="J573">
        <v>7</v>
      </c>
      <c r="K573">
        <v>3</v>
      </c>
      <c r="Q573">
        <v>1</v>
      </c>
      <c r="Y573"/>
    </row>
    <row r="574" spans="1:27">
      <c r="A574" s="2" t="s">
        <v>2088</v>
      </c>
      <c r="B574" t="s">
        <v>1666</v>
      </c>
      <c r="C574" t="s">
        <v>2087</v>
      </c>
      <c r="D574" s="5" t="s">
        <v>281</v>
      </c>
      <c r="F574">
        <v>28</v>
      </c>
      <c r="K574">
        <v>4</v>
      </c>
      <c r="L574">
        <v>3</v>
      </c>
      <c r="Q574">
        <v>1</v>
      </c>
    </row>
    <row r="575" spans="1:27">
      <c r="A575" s="2" t="s">
        <v>2985</v>
      </c>
      <c r="B575" t="s">
        <v>2955</v>
      </c>
      <c r="C575" t="s">
        <v>2981</v>
      </c>
      <c r="D575" t="s">
        <v>285</v>
      </c>
      <c r="O575">
        <v>2</v>
      </c>
      <c r="P575">
        <v>13</v>
      </c>
      <c r="Q575">
        <v>1</v>
      </c>
      <c r="V575">
        <v>5</v>
      </c>
      <c r="Y575"/>
      <c r="AA575" t="s">
        <v>1705</v>
      </c>
    </row>
    <row r="576" spans="1:27">
      <c r="A576" s="2" t="s">
        <v>2986</v>
      </c>
      <c r="B576" t="s">
        <v>2955</v>
      </c>
      <c r="C576" t="s">
        <v>2982</v>
      </c>
      <c r="D576" t="s">
        <v>285</v>
      </c>
      <c r="P576">
        <v>14</v>
      </c>
      <c r="Q576">
        <v>1</v>
      </c>
      <c r="V576">
        <v>5</v>
      </c>
      <c r="Y576"/>
      <c r="AA576" t="s">
        <v>1705</v>
      </c>
    </row>
    <row r="577" spans="1:27">
      <c r="A577" s="2" t="s">
        <v>2987</v>
      </c>
      <c r="B577" t="s">
        <v>486</v>
      </c>
      <c r="C577" t="s">
        <v>2983</v>
      </c>
      <c r="D577" t="s">
        <v>292</v>
      </c>
      <c r="I577">
        <v>15</v>
      </c>
      <c r="M577">
        <v>3</v>
      </c>
      <c r="Q577">
        <v>1</v>
      </c>
      <c r="Y577"/>
    </row>
    <row r="578" spans="1:27">
      <c r="A578" s="2" t="s">
        <v>2988</v>
      </c>
      <c r="B578" t="s">
        <v>303</v>
      </c>
      <c r="C578" t="s">
        <v>2984</v>
      </c>
      <c r="D578" t="s">
        <v>284</v>
      </c>
      <c r="G578">
        <v>15</v>
      </c>
      <c r="I578">
        <v>2</v>
      </c>
      <c r="J578">
        <v>2</v>
      </c>
      <c r="K578">
        <v>3</v>
      </c>
      <c r="Q578">
        <v>1</v>
      </c>
      <c r="V578">
        <v>7</v>
      </c>
      <c r="Y578"/>
      <c r="AA578" t="s">
        <v>1732</v>
      </c>
    </row>
    <row r="579" spans="1:27">
      <c r="A579" s="2" t="s">
        <v>2109</v>
      </c>
      <c r="B579" t="s">
        <v>485</v>
      </c>
      <c r="C579" t="s">
        <v>2110</v>
      </c>
      <c r="D579" s="5" t="s">
        <v>268</v>
      </c>
      <c r="G579">
        <v>19</v>
      </c>
      <c r="K579">
        <v>1</v>
      </c>
      <c r="Q579">
        <v>1</v>
      </c>
    </row>
    <row r="580" spans="1:27">
      <c r="A580" s="2" t="s">
        <v>2990</v>
      </c>
      <c r="B580" t="s">
        <v>2963</v>
      </c>
      <c r="C580" t="s">
        <v>2989</v>
      </c>
      <c r="D580" t="s">
        <v>286</v>
      </c>
      <c r="I580">
        <v>1</v>
      </c>
      <c r="K580">
        <v>2</v>
      </c>
      <c r="O580">
        <v>15</v>
      </c>
      <c r="Q580">
        <v>1</v>
      </c>
      <c r="V580">
        <v>7</v>
      </c>
      <c r="Y580"/>
      <c r="AA580" t="s">
        <v>1732</v>
      </c>
    </row>
    <row r="581" spans="1:27">
      <c r="A581" s="2" t="s">
        <v>2090</v>
      </c>
      <c r="B581" t="s">
        <v>1666</v>
      </c>
      <c r="C581" t="s">
        <v>2089</v>
      </c>
      <c r="D581" s="5" t="s">
        <v>281</v>
      </c>
      <c r="F581">
        <v>32</v>
      </c>
      <c r="L581">
        <v>4</v>
      </c>
      <c r="Q581">
        <v>1</v>
      </c>
    </row>
    <row r="582" spans="1:27">
      <c r="A582" s="2" t="s">
        <v>2091</v>
      </c>
      <c r="B582" t="s">
        <v>217</v>
      </c>
      <c r="C582" t="s">
        <v>1829</v>
      </c>
      <c r="D582" s="5" t="s">
        <v>285</v>
      </c>
      <c r="O582">
        <v>4</v>
      </c>
      <c r="P582">
        <v>16</v>
      </c>
      <c r="Q582">
        <v>1</v>
      </c>
      <c r="V582">
        <v>9</v>
      </c>
    </row>
    <row r="583" spans="1:27">
      <c r="A583" s="2" t="s">
        <v>2114</v>
      </c>
      <c r="B583" t="s">
        <v>1666</v>
      </c>
      <c r="C583" t="s">
        <v>2113</v>
      </c>
      <c r="D583" s="5" t="s">
        <v>281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2993</v>
      </c>
      <c r="B584" t="s">
        <v>490</v>
      </c>
      <c r="C584" t="s">
        <v>2991</v>
      </c>
      <c r="D584" t="s">
        <v>289</v>
      </c>
      <c r="M584">
        <v>12</v>
      </c>
      <c r="Q584">
        <v>1</v>
      </c>
      <c r="Y584"/>
    </row>
    <row r="585" spans="1:27">
      <c r="A585" s="2" t="s">
        <v>2994</v>
      </c>
      <c r="B585" t="s">
        <v>1666</v>
      </c>
      <c r="C585" t="s">
        <v>2992</v>
      </c>
      <c r="D585" t="s">
        <v>281</v>
      </c>
      <c r="F585">
        <v>10</v>
      </c>
      <c r="L585">
        <v>3</v>
      </c>
      <c r="Q585">
        <v>1</v>
      </c>
      <c r="Y585"/>
    </row>
    <row r="586" spans="1:27">
      <c r="A586" s="2" t="s">
        <v>2093</v>
      </c>
      <c r="B586" t="s">
        <v>1668</v>
      </c>
      <c r="C586" t="s">
        <v>2092</v>
      </c>
      <c r="D586" s="5" t="s">
        <v>1558</v>
      </c>
      <c r="F586">
        <v>19</v>
      </c>
      <c r="P586">
        <v>17</v>
      </c>
      <c r="Q586">
        <v>3.7</v>
      </c>
      <c r="R586">
        <v>0.8</v>
      </c>
      <c r="T586">
        <v>21</v>
      </c>
      <c r="V586">
        <v>9</v>
      </c>
    </row>
    <row r="587" spans="1:27">
      <c r="A587" s="2" t="s">
        <v>3005</v>
      </c>
      <c r="B587" t="s">
        <v>490</v>
      </c>
      <c r="C587" t="s">
        <v>2995</v>
      </c>
      <c r="D587" t="s">
        <v>289</v>
      </c>
      <c r="J587">
        <v>3</v>
      </c>
      <c r="M587">
        <v>7</v>
      </c>
      <c r="Q587">
        <v>1</v>
      </c>
      <c r="Y587"/>
    </row>
    <row r="588" spans="1:27">
      <c r="A588" s="2" t="s">
        <v>3006</v>
      </c>
      <c r="B588" t="s">
        <v>303</v>
      </c>
      <c r="C588" t="s">
        <v>2996</v>
      </c>
      <c r="D588" t="s">
        <v>284</v>
      </c>
      <c r="G588">
        <v>12</v>
      </c>
      <c r="I588">
        <v>6</v>
      </c>
      <c r="J588">
        <v>2</v>
      </c>
      <c r="Q588">
        <v>1</v>
      </c>
      <c r="V588">
        <v>6</v>
      </c>
      <c r="Y588"/>
      <c r="AA588" t="s">
        <v>1706</v>
      </c>
    </row>
    <row r="589" spans="1:27">
      <c r="A589" s="2" t="s">
        <v>3007</v>
      </c>
      <c r="B589" t="s">
        <v>1666</v>
      </c>
      <c r="C589" t="s">
        <v>2997</v>
      </c>
      <c r="D589" t="s">
        <v>281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Y589"/>
      <c r="AA589" t="s">
        <v>1694</v>
      </c>
    </row>
    <row r="590" spans="1:27">
      <c r="A590" s="2" t="s">
        <v>3008</v>
      </c>
      <c r="B590" t="s">
        <v>2963</v>
      </c>
      <c r="C590" t="s">
        <v>2998</v>
      </c>
      <c r="D590" t="s">
        <v>286</v>
      </c>
      <c r="K590">
        <v>-1</v>
      </c>
      <c r="O590">
        <v>12</v>
      </c>
      <c r="Q590">
        <v>1</v>
      </c>
      <c r="V590">
        <v>5</v>
      </c>
      <c r="W590" s="2" t="s">
        <v>1682</v>
      </c>
      <c r="Y590">
        <v>0.15</v>
      </c>
      <c r="AA590" t="s">
        <v>2999</v>
      </c>
    </row>
    <row r="591" spans="1:27">
      <c r="A591" s="2" t="s">
        <v>3009</v>
      </c>
      <c r="B591" t="s">
        <v>1666</v>
      </c>
      <c r="C591" t="s">
        <v>3000</v>
      </c>
      <c r="D591" t="s">
        <v>281</v>
      </c>
      <c r="F591">
        <v>13</v>
      </c>
      <c r="K591">
        <v>1</v>
      </c>
      <c r="L591">
        <v>3</v>
      </c>
      <c r="Q591">
        <v>1</v>
      </c>
      <c r="Y591"/>
    </row>
    <row r="592" spans="1:27">
      <c r="A592" s="2" t="s">
        <v>3010</v>
      </c>
      <c r="B592" t="s">
        <v>303</v>
      </c>
      <c r="C592" t="s">
        <v>3001</v>
      </c>
      <c r="D592" t="s">
        <v>284</v>
      </c>
      <c r="G592">
        <v>2</v>
      </c>
      <c r="I592">
        <v>11</v>
      </c>
      <c r="J592">
        <v>3</v>
      </c>
      <c r="Q592">
        <v>1</v>
      </c>
      <c r="V592">
        <v>4</v>
      </c>
      <c r="Y592"/>
      <c r="AA592" t="s">
        <v>1704</v>
      </c>
    </row>
    <row r="593" spans="1:27">
      <c r="A593" s="2" t="s">
        <v>3011</v>
      </c>
      <c r="B593" t="s">
        <v>2976</v>
      </c>
      <c r="C593" t="s">
        <v>3002</v>
      </c>
      <c r="D593" t="s">
        <v>268</v>
      </c>
      <c r="G593">
        <v>13</v>
      </c>
      <c r="K593">
        <v>4</v>
      </c>
      <c r="Q593">
        <v>1</v>
      </c>
      <c r="Y593"/>
    </row>
    <row r="594" spans="1:27">
      <c r="A594" s="2" t="s">
        <v>3012</v>
      </c>
      <c r="B594" t="s">
        <v>2963</v>
      </c>
      <c r="C594" t="s">
        <v>3003</v>
      </c>
      <c r="D594" t="s">
        <v>286</v>
      </c>
      <c r="K594">
        <v>3</v>
      </c>
      <c r="O594">
        <v>13</v>
      </c>
      <c r="Q594">
        <v>1</v>
      </c>
      <c r="V594">
        <v>5</v>
      </c>
      <c r="Y594"/>
      <c r="AA594" t="s">
        <v>1705</v>
      </c>
    </row>
    <row r="595" spans="1:27">
      <c r="A595" s="2" t="s">
        <v>3013</v>
      </c>
      <c r="B595" t="s">
        <v>2955</v>
      </c>
      <c r="C595" t="s">
        <v>3004</v>
      </c>
      <c r="D595" t="s">
        <v>285</v>
      </c>
      <c r="O595">
        <v>2</v>
      </c>
      <c r="P595">
        <v>14</v>
      </c>
      <c r="Q595">
        <v>1</v>
      </c>
      <c r="V595">
        <v>7</v>
      </c>
      <c r="Y595"/>
      <c r="AA595" t="s">
        <v>1732</v>
      </c>
    </row>
    <row r="596" spans="1:27">
      <c r="A596" s="2" t="s">
        <v>2095</v>
      </c>
      <c r="B596" t="s">
        <v>1666</v>
      </c>
      <c r="C596" t="s">
        <v>2094</v>
      </c>
      <c r="D596" s="5" t="s">
        <v>281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3015</v>
      </c>
      <c r="B597" t="s">
        <v>1666</v>
      </c>
      <c r="C597" t="s">
        <v>3014</v>
      </c>
      <c r="D597" t="s">
        <v>281</v>
      </c>
      <c r="F597">
        <v>12</v>
      </c>
      <c r="H597">
        <v>2</v>
      </c>
      <c r="K597">
        <v>1</v>
      </c>
      <c r="L597">
        <v>3</v>
      </c>
      <c r="Q597">
        <v>1</v>
      </c>
      <c r="W597"/>
      <c r="Y597"/>
    </row>
    <row r="598" spans="1:27">
      <c r="A598" s="2" t="s">
        <v>2097</v>
      </c>
      <c r="B598" t="s">
        <v>1680</v>
      </c>
      <c r="C598" t="s">
        <v>2096</v>
      </c>
      <c r="D598" s="5" t="s">
        <v>1555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2161</v>
      </c>
      <c r="B599" t="s">
        <v>293</v>
      </c>
      <c r="C599" t="s">
        <v>2162</v>
      </c>
      <c r="D599" s="5" t="s">
        <v>286</v>
      </c>
      <c r="O599">
        <v>10</v>
      </c>
      <c r="P599">
        <v>9</v>
      </c>
      <c r="Q599">
        <v>1</v>
      </c>
      <c r="V599">
        <v>6</v>
      </c>
      <c r="W599" s="2" t="s">
        <v>2163</v>
      </c>
      <c r="Y599" s="6">
        <v>0.1</v>
      </c>
    </row>
    <row r="600" spans="1:27">
      <c r="A600" s="2" t="s">
        <v>2164</v>
      </c>
      <c r="B600" t="s">
        <v>2067</v>
      </c>
      <c r="C600" t="s">
        <v>2166</v>
      </c>
      <c r="D600" s="5" t="s">
        <v>2099</v>
      </c>
      <c r="F600">
        <v>22</v>
      </c>
      <c r="Q600">
        <v>1</v>
      </c>
      <c r="S600">
        <v>22</v>
      </c>
      <c r="V600">
        <v>10</v>
      </c>
      <c r="W600" s="2" t="s">
        <v>2168</v>
      </c>
      <c r="AA600" t="s">
        <v>2170</v>
      </c>
    </row>
    <row r="601" spans="1:27">
      <c r="A601" s="2" t="s">
        <v>2165</v>
      </c>
      <c r="B601" t="s">
        <v>1680</v>
      </c>
      <c r="C601" t="s">
        <v>2167</v>
      </c>
      <c r="D601" s="5" t="s">
        <v>1555</v>
      </c>
      <c r="F601">
        <v>3</v>
      </c>
      <c r="K601">
        <v>2</v>
      </c>
      <c r="Q601">
        <v>1</v>
      </c>
      <c r="W601" s="2" t="s">
        <v>2169</v>
      </c>
      <c r="AA601" t="s">
        <v>2171</v>
      </c>
    </row>
    <row r="602" spans="1:27">
      <c r="A602" s="2" t="s">
        <v>2100</v>
      </c>
      <c r="B602" t="s">
        <v>2067</v>
      </c>
      <c r="C602" t="s">
        <v>2098</v>
      </c>
      <c r="D602" s="5" t="s">
        <v>2099</v>
      </c>
      <c r="F602">
        <v>23</v>
      </c>
      <c r="P602">
        <v>15</v>
      </c>
      <c r="Q602">
        <v>3.7</v>
      </c>
      <c r="R602">
        <v>0.75</v>
      </c>
      <c r="S602">
        <v>26</v>
      </c>
      <c r="V602">
        <v>10</v>
      </c>
    </row>
    <row r="603" spans="1:27">
      <c r="A603" s="2" t="s">
        <v>2102</v>
      </c>
      <c r="B603" t="s">
        <v>1680</v>
      </c>
      <c r="C603" t="s">
        <v>2101</v>
      </c>
      <c r="D603" s="5" t="s">
        <v>1555</v>
      </c>
      <c r="F603">
        <v>6</v>
      </c>
      <c r="P603">
        <v>6</v>
      </c>
      <c r="Q603">
        <v>1</v>
      </c>
    </row>
    <row r="604" spans="1:27">
      <c r="A604" s="2" t="s">
        <v>2116</v>
      </c>
      <c r="B604" t="s">
        <v>1666</v>
      </c>
      <c r="C604" t="s">
        <v>2115</v>
      </c>
      <c r="D604" s="5" t="s">
        <v>281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2172</v>
      </c>
      <c r="B605" t="s">
        <v>485</v>
      </c>
      <c r="C605" t="s">
        <v>2173</v>
      </c>
      <c r="D605" s="5" t="s">
        <v>268</v>
      </c>
      <c r="G605">
        <v>12</v>
      </c>
      <c r="Q605">
        <v>1</v>
      </c>
      <c r="W605" s="2" t="s">
        <v>2174</v>
      </c>
      <c r="AA605" s="27" t="s">
        <v>2175</v>
      </c>
    </row>
    <row r="606" spans="1:27">
      <c r="A606" s="2" t="s">
        <v>2176</v>
      </c>
      <c r="B606" t="s">
        <v>293</v>
      </c>
      <c r="C606" t="s">
        <v>2014</v>
      </c>
      <c r="D606" s="5" t="s">
        <v>286</v>
      </c>
      <c r="O606">
        <v>12</v>
      </c>
      <c r="Q606">
        <v>1</v>
      </c>
      <c r="V606">
        <v>5</v>
      </c>
      <c r="W606" s="2" t="s">
        <v>1682</v>
      </c>
      <c r="Y606" s="6">
        <v>0.25</v>
      </c>
    </row>
    <row r="607" spans="1:27">
      <c r="A607" s="2" t="s">
        <v>2637</v>
      </c>
      <c r="B607" t="s">
        <v>303</v>
      </c>
      <c r="C607" t="s">
        <v>2768</v>
      </c>
      <c r="D607" s="5" t="s">
        <v>284</v>
      </c>
      <c r="G607">
        <v>12</v>
      </c>
      <c r="K607">
        <v>2</v>
      </c>
      <c r="Q607">
        <v>1</v>
      </c>
      <c r="V607">
        <v>5</v>
      </c>
      <c r="W607" s="2" t="s">
        <v>2638</v>
      </c>
      <c r="Y607"/>
      <c r="AA607" t="s">
        <v>2639</v>
      </c>
    </row>
    <row r="608" spans="1:27">
      <c r="A608" s="2" t="s">
        <v>3017</v>
      </c>
      <c r="B608" t="s">
        <v>1666</v>
      </c>
      <c r="C608" t="s">
        <v>3016</v>
      </c>
      <c r="D608" t="s">
        <v>281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W608"/>
      <c r="Y608"/>
      <c r="AA608" t="s">
        <v>1767</v>
      </c>
    </row>
    <row r="609" spans="1:27">
      <c r="A609" s="2" t="s">
        <v>2104</v>
      </c>
      <c r="B609" t="s">
        <v>295</v>
      </c>
      <c r="C609" t="s">
        <v>2103</v>
      </c>
      <c r="D609" s="5" t="s">
        <v>288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3020</v>
      </c>
      <c r="B610" t="s">
        <v>1666</v>
      </c>
      <c r="C610" t="s">
        <v>3018</v>
      </c>
      <c r="D610" t="s">
        <v>281</v>
      </c>
      <c r="F610">
        <v>21</v>
      </c>
      <c r="K610">
        <v>6</v>
      </c>
      <c r="L610">
        <v>3</v>
      </c>
      <c r="Q610">
        <v>1</v>
      </c>
      <c r="W610"/>
      <c r="Y610"/>
      <c r="AA610" t="s">
        <v>3019</v>
      </c>
    </row>
    <row r="611" spans="1:27">
      <c r="A611" s="2" t="s">
        <v>2177</v>
      </c>
      <c r="B611" t="s">
        <v>295</v>
      </c>
      <c r="C611" t="s">
        <v>2178</v>
      </c>
      <c r="D611" s="5" t="s">
        <v>288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W611" s="2" t="s">
        <v>2179</v>
      </c>
      <c r="Y611" s="6" t="s">
        <v>2180</v>
      </c>
      <c r="AA611" s="27" t="s">
        <v>2181</v>
      </c>
    </row>
    <row r="612" spans="1:27">
      <c r="A612" s="2" t="s">
        <v>2182</v>
      </c>
      <c r="B612" t="s">
        <v>485</v>
      </c>
      <c r="C612" t="s">
        <v>2183</v>
      </c>
      <c r="D612" s="5" t="s">
        <v>268</v>
      </c>
      <c r="G612">
        <v>6</v>
      </c>
      <c r="M612">
        <v>2</v>
      </c>
      <c r="Q612">
        <v>1</v>
      </c>
      <c r="W612" s="2" t="s">
        <v>2184</v>
      </c>
      <c r="AA612" s="27" t="s">
        <v>2185</v>
      </c>
    </row>
    <row r="613" spans="1:27">
      <c r="A613" s="2" t="s">
        <v>2106</v>
      </c>
      <c r="B613" t="s">
        <v>1666</v>
      </c>
      <c r="C613" t="s">
        <v>2105</v>
      </c>
      <c r="D613" s="5" t="s">
        <v>281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2108</v>
      </c>
      <c r="B614" t="s">
        <v>294</v>
      </c>
      <c r="C614" t="s">
        <v>2107</v>
      </c>
      <c r="D614" s="5" t="s">
        <v>291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2189</v>
      </c>
      <c r="B615" t="s">
        <v>293</v>
      </c>
      <c r="C615" t="s">
        <v>2190</v>
      </c>
      <c r="D615" s="5" t="s">
        <v>286</v>
      </c>
      <c r="O615">
        <v>20</v>
      </c>
      <c r="Q615">
        <v>1</v>
      </c>
      <c r="V615">
        <v>14</v>
      </c>
      <c r="W615" s="2" t="s">
        <v>2191</v>
      </c>
      <c r="AA615" s="27" t="s">
        <v>2193</v>
      </c>
    </row>
    <row r="616" spans="1:27">
      <c r="A616" s="2" t="s">
        <v>2186</v>
      </c>
      <c r="B616" t="s">
        <v>490</v>
      </c>
      <c r="C616" t="s">
        <v>2187</v>
      </c>
      <c r="D616" s="5" t="s">
        <v>289</v>
      </c>
      <c r="G616">
        <v>2</v>
      </c>
      <c r="K616">
        <v>3</v>
      </c>
      <c r="M616">
        <v>5</v>
      </c>
      <c r="Q616">
        <v>1</v>
      </c>
      <c r="W616" s="2" t="s">
        <v>2188</v>
      </c>
      <c r="Y616" s="6">
        <v>0.25</v>
      </c>
      <c r="AA616" s="27" t="s">
        <v>2194</v>
      </c>
    </row>
    <row r="617" spans="1:27">
      <c r="A617" s="2" t="s">
        <v>2195</v>
      </c>
      <c r="B617" t="s">
        <v>295</v>
      </c>
      <c r="C617" t="s">
        <v>2196</v>
      </c>
      <c r="D617" s="5" t="s">
        <v>288</v>
      </c>
      <c r="J617">
        <v>4</v>
      </c>
      <c r="K617">
        <v>4</v>
      </c>
      <c r="P617">
        <v>11</v>
      </c>
      <c r="Q617">
        <v>3.5</v>
      </c>
      <c r="R617">
        <v>0.7</v>
      </c>
      <c r="W617" s="2" t="s">
        <v>2197</v>
      </c>
      <c r="Y617" s="6" t="s">
        <v>2199</v>
      </c>
      <c r="AA617" s="27" t="s">
        <v>2198</v>
      </c>
    </row>
    <row r="618" spans="1:27">
      <c r="A618" s="2" t="s">
        <v>3023</v>
      </c>
      <c r="B618" t="s">
        <v>1666</v>
      </c>
      <c r="C618" t="s">
        <v>3021</v>
      </c>
      <c r="D618" t="s">
        <v>281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W618"/>
      <c r="Y618"/>
      <c r="AA618" t="s">
        <v>3022</v>
      </c>
    </row>
    <row r="619" spans="1:27">
      <c r="A619" s="2" t="s">
        <v>2200</v>
      </c>
      <c r="B619" t="s">
        <v>1666</v>
      </c>
      <c r="C619" t="s">
        <v>2201</v>
      </c>
      <c r="D619" s="5" t="s">
        <v>281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2202</v>
      </c>
      <c r="B620" t="s">
        <v>217</v>
      </c>
      <c r="C620" t="s">
        <v>2203</v>
      </c>
      <c r="D620" s="5" t="s">
        <v>285</v>
      </c>
      <c r="M620">
        <v>4</v>
      </c>
      <c r="P620">
        <v>14</v>
      </c>
      <c r="Q620">
        <v>1</v>
      </c>
      <c r="V620">
        <v>8</v>
      </c>
      <c r="W620" s="2" t="s">
        <v>2204</v>
      </c>
      <c r="AA620" t="s">
        <v>2192</v>
      </c>
    </row>
    <row r="621" spans="1:27">
      <c r="A621" s="2" t="s">
        <v>2205</v>
      </c>
      <c r="B621" t="s">
        <v>1666</v>
      </c>
      <c r="C621" t="s">
        <v>2206</v>
      </c>
      <c r="D621" s="5" t="s">
        <v>281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2207</v>
      </c>
      <c r="B622" t="s">
        <v>217</v>
      </c>
      <c r="C622" t="s">
        <v>2209</v>
      </c>
      <c r="D622" s="5" t="s">
        <v>285</v>
      </c>
      <c r="M622">
        <v>1</v>
      </c>
      <c r="P622">
        <v>15</v>
      </c>
      <c r="Q622">
        <v>1</v>
      </c>
      <c r="V622">
        <v>5</v>
      </c>
      <c r="W622" s="2" t="s">
        <v>2210</v>
      </c>
      <c r="AA622" s="27" t="s">
        <v>2211</v>
      </c>
    </row>
    <row r="623" spans="1:27">
      <c r="A623" s="2" t="s">
        <v>2208</v>
      </c>
      <c r="B623" t="s">
        <v>1666</v>
      </c>
      <c r="C623" t="s">
        <v>2833</v>
      </c>
      <c r="D623" s="5" t="s">
        <v>281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2212</v>
      </c>
      <c r="B624" t="s">
        <v>1666</v>
      </c>
      <c r="C624" t="s">
        <v>2832</v>
      </c>
      <c r="D624" s="5" t="s">
        <v>281</v>
      </c>
      <c r="F624">
        <v>20</v>
      </c>
      <c r="K624">
        <v>4</v>
      </c>
      <c r="L624">
        <v>3</v>
      </c>
      <c r="Q624">
        <v>1</v>
      </c>
      <c r="W624" s="2" t="s">
        <v>2213</v>
      </c>
      <c r="AA624" s="27" t="s">
        <v>2214</v>
      </c>
    </row>
    <row r="625" spans="1:27">
      <c r="A625" s="2" t="s">
        <v>2252</v>
      </c>
      <c r="B625" t="s">
        <v>303</v>
      </c>
      <c r="C625" t="s">
        <v>2260</v>
      </c>
      <c r="D625" s="5" t="s">
        <v>284</v>
      </c>
      <c r="G625">
        <v>18</v>
      </c>
      <c r="I625">
        <v>5</v>
      </c>
      <c r="K625">
        <v>1</v>
      </c>
      <c r="Q625">
        <v>1</v>
      </c>
      <c r="V625">
        <v>8</v>
      </c>
      <c r="W625" s="2" t="s">
        <v>1682</v>
      </c>
      <c r="Y625" s="6">
        <v>0.25</v>
      </c>
    </row>
    <row r="626" spans="1:27">
      <c r="A626" s="2" t="s">
        <v>3025</v>
      </c>
      <c r="B626" t="s">
        <v>2955</v>
      </c>
      <c r="C626" t="s">
        <v>3098</v>
      </c>
      <c r="D626" t="s">
        <v>285</v>
      </c>
      <c r="P626">
        <v>8</v>
      </c>
      <c r="Q626">
        <v>1</v>
      </c>
      <c r="V626">
        <v>5</v>
      </c>
      <c r="W626" s="2">
        <v>607</v>
      </c>
      <c r="Y626"/>
      <c r="AA626" t="s">
        <v>3097</v>
      </c>
    </row>
    <row r="627" spans="1:27">
      <c r="A627" s="2" t="s">
        <v>2253</v>
      </c>
      <c r="B627" t="s">
        <v>294</v>
      </c>
      <c r="C627" t="s">
        <v>2261</v>
      </c>
      <c r="D627" s="5" t="s">
        <v>291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3026</v>
      </c>
      <c r="B628" t="s">
        <v>2955</v>
      </c>
      <c r="C628" t="s">
        <v>3024</v>
      </c>
      <c r="D628" t="s">
        <v>285</v>
      </c>
      <c r="O628">
        <v>3</v>
      </c>
      <c r="P628">
        <v>13</v>
      </c>
      <c r="Q628">
        <v>1</v>
      </c>
      <c r="V628">
        <v>6</v>
      </c>
      <c r="W628"/>
      <c r="Y628"/>
      <c r="AA628" t="s">
        <v>1706</v>
      </c>
    </row>
    <row r="629" spans="1:27">
      <c r="A629" s="2" t="s">
        <v>2254</v>
      </c>
      <c r="B629" t="s">
        <v>1666</v>
      </c>
      <c r="C629" t="s">
        <v>2262</v>
      </c>
      <c r="D629" s="5" t="s">
        <v>281</v>
      </c>
      <c r="F629">
        <v>31</v>
      </c>
      <c r="L629">
        <v>3</v>
      </c>
      <c r="Q629">
        <v>1</v>
      </c>
    </row>
    <row r="630" spans="1:27">
      <c r="A630" s="2" t="s">
        <v>2255</v>
      </c>
      <c r="B630" t="s">
        <v>1666</v>
      </c>
      <c r="C630" t="s">
        <v>2263</v>
      </c>
      <c r="D630" s="5" t="s">
        <v>281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2256</v>
      </c>
      <c r="B631" t="s">
        <v>2644</v>
      </c>
      <c r="C631" t="s">
        <v>2264</v>
      </c>
      <c r="D631" s="5" t="s">
        <v>2645</v>
      </c>
      <c r="F631">
        <v>25</v>
      </c>
      <c r="Q631">
        <v>1</v>
      </c>
      <c r="S631">
        <v>22</v>
      </c>
      <c r="V631">
        <v>12</v>
      </c>
      <c r="W631" s="2" t="s">
        <v>2267</v>
      </c>
      <c r="AA631" t="s">
        <v>2268</v>
      </c>
    </row>
    <row r="632" spans="1:27">
      <c r="A632" s="2" t="s">
        <v>2257</v>
      </c>
      <c r="B632" t="s">
        <v>1680</v>
      </c>
      <c r="C632" t="s">
        <v>2265</v>
      </c>
      <c r="D632" s="5" t="s">
        <v>1555</v>
      </c>
      <c r="F632">
        <v>4</v>
      </c>
      <c r="K632">
        <v>2</v>
      </c>
      <c r="Q632">
        <v>1</v>
      </c>
      <c r="W632" s="2" t="s">
        <v>2266</v>
      </c>
      <c r="AA632" t="s">
        <v>2269</v>
      </c>
    </row>
    <row r="633" spans="1:27">
      <c r="A633" s="2" t="s">
        <v>2258</v>
      </c>
      <c r="B633" t="s">
        <v>217</v>
      </c>
      <c r="C633" t="s">
        <v>2270</v>
      </c>
      <c r="D633" s="5" t="s">
        <v>285</v>
      </c>
      <c r="O633">
        <v>6</v>
      </c>
      <c r="P633">
        <v>15</v>
      </c>
      <c r="Q633">
        <v>1</v>
      </c>
      <c r="V633">
        <v>8</v>
      </c>
    </row>
    <row r="634" spans="1:27">
      <c r="A634" s="2" t="s">
        <v>2259</v>
      </c>
      <c r="B634" t="s">
        <v>1666</v>
      </c>
      <c r="C634" t="s">
        <v>2271</v>
      </c>
      <c r="D634" s="5" t="s">
        <v>281</v>
      </c>
      <c r="F634">
        <v>28</v>
      </c>
      <c r="L634">
        <v>3</v>
      </c>
      <c r="Q634">
        <v>1</v>
      </c>
    </row>
    <row r="635" spans="1:27">
      <c r="A635" s="2" t="s">
        <v>2272</v>
      </c>
      <c r="B635" t="s">
        <v>1666</v>
      </c>
      <c r="C635" t="s">
        <v>2273</v>
      </c>
      <c r="D635" s="5" t="s">
        <v>281</v>
      </c>
      <c r="F635">
        <v>33</v>
      </c>
      <c r="L635">
        <v>4</v>
      </c>
      <c r="Q635">
        <v>1</v>
      </c>
    </row>
    <row r="636" spans="1:27">
      <c r="A636" s="2" t="s">
        <v>3035</v>
      </c>
      <c r="B636" t="s">
        <v>1666</v>
      </c>
      <c r="C636" t="s">
        <v>3027</v>
      </c>
      <c r="D636" t="s">
        <v>281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W636"/>
      <c r="Y636"/>
      <c r="AA636" t="s">
        <v>1812</v>
      </c>
    </row>
    <row r="637" spans="1:27">
      <c r="A637" s="2" t="s">
        <v>3036</v>
      </c>
      <c r="B637" t="s">
        <v>2963</v>
      </c>
      <c r="C637" t="s">
        <v>3028</v>
      </c>
      <c r="D637" t="s">
        <v>286</v>
      </c>
      <c r="O637">
        <v>14</v>
      </c>
      <c r="Q637">
        <v>1</v>
      </c>
      <c r="V637">
        <v>7</v>
      </c>
      <c r="W637"/>
      <c r="Y637"/>
      <c r="AA637" t="s">
        <v>1732</v>
      </c>
    </row>
    <row r="638" spans="1:27">
      <c r="A638" s="2" t="s">
        <v>3037</v>
      </c>
      <c r="B638" t="s">
        <v>303</v>
      </c>
      <c r="C638" t="s">
        <v>2320</v>
      </c>
      <c r="D638" s="5" t="s">
        <v>2321</v>
      </c>
      <c r="G638">
        <v>15</v>
      </c>
      <c r="I638">
        <v>3</v>
      </c>
      <c r="J638">
        <v>2</v>
      </c>
      <c r="K638">
        <v>1</v>
      </c>
      <c r="Q638">
        <v>1</v>
      </c>
      <c r="V638">
        <v>6</v>
      </c>
      <c r="W638" s="2" t="s">
        <v>2322</v>
      </c>
      <c r="AA638" t="s">
        <v>2323</v>
      </c>
    </row>
    <row r="639" spans="1:27">
      <c r="A639" s="2" t="s">
        <v>3038</v>
      </c>
      <c r="B639" t="s">
        <v>1668</v>
      </c>
      <c r="C639" t="s">
        <v>2324</v>
      </c>
      <c r="D639" s="5" t="s">
        <v>1558</v>
      </c>
      <c r="F639">
        <v>14</v>
      </c>
      <c r="P639">
        <v>17</v>
      </c>
      <c r="Q639">
        <v>3.8</v>
      </c>
      <c r="R639">
        <v>0.8</v>
      </c>
      <c r="T639">
        <v>21</v>
      </c>
      <c r="V639">
        <v>6</v>
      </c>
      <c r="W639" s="2" t="s">
        <v>2754</v>
      </c>
      <c r="Y639" s="6">
        <v>0.1</v>
      </c>
      <c r="AA639" t="s">
        <v>2325</v>
      </c>
    </row>
    <row r="640" spans="1:27">
      <c r="A640" s="2" t="s">
        <v>3039</v>
      </c>
      <c r="B640" t="s">
        <v>1666</v>
      </c>
      <c r="C640" t="s">
        <v>3029</v>
      </c>
      <c r="D640" t="s">
        <v>281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W640"/>
      <c r="Y640"/>
      <c r="AA640" t="s">
        <v>3030</v>
      </c>
    </row>
    <row r="641" spans="1:27">
      <c r="A641" s="2" t="s">
        <v>3040</v>
      </c>
      <c r="B641" t="s">
        <v>1666</v>
      </c>
      <c r="C641" t="s">
        <v>3031</v>
      </c>
      <c r="D641" t="s">
        <v>281</v>
      </c>
      <c r="F641">
        <v>19</v>
      </c>
      <c r="J641">
        <v>6</v>
      </c>
      <c r="K641">
        <v>4</v>
      </c>
      <c r="L641">
        <v>3</v>
      </c>
      <c r="Q641">
        <v>1</v>
      </c>
      <c r="W641"/>
      <c r="Y641"/>
    </row>
    <row r="642" spans="1:27">
      <c r="A642" s="2" t="s">
        <v>3041</v>
      </c>
      <c r="B642" t="s">
        <v>303</v>
      </c>
      <c r="C642" t="s">
        <v>3032</v>
      </c>
      <c r="D642" t="s">
        <v>284</v>
      </c>
      <c r="G642">
        <v>15</v>
      </c>
      <c r="K642">
        <v>2</v>
      </c>
      <c r="Q642">
        <v>1</v>
      </c>
      <c r="V642">
        <v>6</v>
      </c>
      <c r="W642"/>
      <c r="Y642"/>
      <c r="AA642" t="s">
        <v>1706</v>
      </c>
    </row>
    <row r="643" spans="1:27">
      <c r="A643" s="2" t="s">
        <v>3042</v>
      </c>
      <c r="B643" t="s">
        <v>2955</v>
      </c>
      <c r="C643" t="s">
        <v>3033</v>
      </c>
      <c r="D643" t="s">
        <v>285</v>
      </c>
      <c r="P643">
        <v>9</v>
      </c>
      <c r="Q643">
        <v>1</v>
      </c>
      <c r="V643">
        <v>4</v>
      </c>
      <c r="W643"/>
      <c r="Y643"/>
      <c r="AA643" t="s">
        <v>3034</v>
      </c>
    </row>
    <row r="644" spans="1:27">
      <c r="A644" s="2" t="s">
        <v>2326</v>
      </c>
      <c r="B644" t="s">
        <v>1666</v>
      </c>
      <c r="C644" t="s">
        <v>2327</v>
      </c>
      <c r="D644" s="5" t="s">
        <v>281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2328</v>
      </c>
      <c r="B645" t="s">
        <v>293</v>
      </c>
      <c r="C645" t="s">
        <v>2329</v>
      </c>
      <c r="D645" s="5" t="s">
        <v>2330</v>
      </c>
      <c r="K645">
        <v>2</v>
      </c>
      <c r="O645">
        <v>13</v>
      </c>
      <c r="Q645">
        <v>1</v>
      </c>
      <c r="V645">
        <v>5</v>
      </c>
      <c r="W645" s="2" t="s">
        <v>1682</v>
      </c>
      <c r="Y645" s="6">
        <v>0.25</v>
      </c>
    </row>
    <row r="646" spans="1:27">
      <c r="A646" s="2" t="s">
        <v>3045</v>
      </c>
      <c r="B646" t="s">
        <v>486</v>
      </c>
      <c r="C646" t="s">
        <v>3043</v>
      </c>
      <c r="D646" t="s">
        <v>292</v>
      </c>
      <c r="G646">
        <v>5</v>
      </c>
      <c r="I646">
        <v>15</v>
      </c>
      <c r="K646">
        <v>2</v>
      </c>
      <c r="Q646">
        <v>1</v>
      </c>
      <c r="W646"/>
      <c r="Y646"/>
    </row>
    <row r="647" spans="1:27">
      <c r="A647" s="2" t="s">
        <v>3046</v>
      </c>
      <c r="B647" t="s">
        <v>217</v>
      </c>
      <c r="C647" t="s">
        <v>2336</v>
      </c>
      <c r="D647" s="5" t="s">
        <v>285</v>
      </c>
      <c r="O647">
        <v>7</v>
      </c>
      <c r="P647">
        <v>9</v>
      </c>
      <c r="Q647">
        <v>1</v>
      </c>
      <c r="V647">
        <v>5</v>
      </c>
      <c r="W647" s="2" t="s">
        <v>2152</v>
      </c>
      <c r="Y647" s="6">
        <v>-0.15</v>
      </c>
      <c r="AA647" t="s">
        <v>2470</v>
      </c>
    </row>
    <row r="648" spans="1:27">
      <c r="A648" s="2" t="s">
        <v>3047</v>
      </c>
      <c r="B648" t="s">
        <v>2955</v>
      </c>
      <c r="C648" t="s">
        <v>3044</v>
      </c>
      <c r="D648" t="s">
        <v>285</v>
      </c>
      <c r="M648">
        <v>3</v>
      </c>
      <c r="P648">
        <v>13</v>
      </c>
      <c r="Q648">
        <v>1</v>
      </c>
      <c r="V648">
        <v>5</v>
      </c>
      <c r="W648"/>
      <c r="Y648"/>
      <c r="AA648" t="s">
        <v>1705</v>
      </c>
    </row>
    <row r="649" spans="1:27">
      <c r="A649" s="2" t="s">
        <v>2331</v>
      </c>
      <c r="B649" t="s">
        <v>293</v>
      </c>
      <c r="C649" t="s">
        <v>2332</v>
      </c>
      <c r="D649" s="5" t="s">
        <v>2330</v>
      </c>
      <c r="O649">
        <v>12</v>
      </c>
      <c r="P649">
        <v>9</v>
      </c>
      <c r="Q649">
        <v>1</v>
      </c>
      <c r="V649">
        <v>6</v>
      </c>
      <c r="W649" s="2" t="s">
        <v>2157</v>
      </c>
      <c r="Y649" s="6">
        <v>0.15</v>
      </c>
      <c r="AA649" t="s">
        <v>2333</v>
      </c>
    </row>
    <row r="650" spans="1:27">
      <c r="A650" s="2" t="s">
        <v>2337</v>
      </c>
      <c r="B650" t="s">
        <v>1668</v>
      </c>
      <c r="C650" t="s">
        <v>2338</v>
      </c>
      <c r="D650" s="5" t="s">
        <v>1558</v>
      </c>
      <c r="F650">
        <v>20</v>
      </c>
      <c r="P650">
        <v>20</v>
      </c>
      <c r="Q650">
        <v>3.7</v>
      </c>
      <c r="R650">
        <v>0.8</v>
      </c>
      <c r="T650">
        <v>22</v>
      </c>
      <c r="V650">
        <v>9</v>
      </c>
      <c r="W650" s="2" t="s">
        <v>2339</v>
      </c>
      <c r="AA650" t="s">
        <v>2340</v>
      </c>
    </row>
    <row r="651" spans="1:27">
      <c r="A651" s="2" t="s">
        <v>2341</v>
      </c>
      <c r="B651" t="s">
        <v>1680</v>
      </c>
      <c r="C651" t="s">
        <v>2343</v>
      </c>
      <c r="D651" s="5" t="s">
        <v>1557</v>
      </c>
      <c r="J651">
        <v>10</v>
      </c>
      <c r="K651">
        <v>2</v>
      </c>
      <c r="P651">
        <v>3</v>
      </c>
      <c r="Q651">
        <v>1</v>
      </c>
      <c r="W651" s="2" t="s">
        <v>2344</v>
      </c>
      <c r="AA651" t="s">
        <v>2345</v>
      </c>
    </row>
    <row r="652" spans="1:27">
      <c r="A652" s="2" t="s">
        <v>2342</v>
      </c>
      <c r="B652" t="s">
        <v>293</v>
      </c>
      <c r="C652" t="s">
        <v>2346</v>
      </c>
      <c r="D652" s="5" t="s">
        <v>2330</v>
      </c>
      <c r="O652">
        <v>13</v>
      </c>
      <c r="P652">
        <v>8</v>
      </c>
      <c r="Q652">
        <v>1</v>
      </c>
      <c r="V652">
        <v>6</v>
      </c>
      <c r="W652" s="2" t="s">
        <v>2157</v>
      </c>
      <c r="Y652" s="6">
        <v>0.1</v>
      </c>
      <c r="AA652" t="s">
        <v>2347</v>
      </c>
    </row>
    <row r="653" spans="1:27">
      <c r="A653" s="2" t="s">
        <v>2389</v>
      </c>
      <c r="B653" t="s">
        <v>295</v>
      </c>
      <c r="C653" t="s">
        <v>2390</v>
      </c>
      <c r="D653" s="5" t="s">
        <v>2391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2394</v>
      </c>
      <c r="B654" t="s">
        <v>2395</v>
      </c>
      <c r="C654" t="s">
        <v>2396</v>
      </c>
      <c r="D654" s="5" t="s">
        <v>281</v>
      </c>
      <c r="F654">
        <v>12</v>
      </c>
      <c r="L654">
        <v>2</v>
      </c>
      <c r="Q654">
        <v>1</v>
      </c>
      <c r="W654" s="2" t="s">
        <v>2392</v>
      </c>
      <c r="Y654" s="6">
        <v>0.05</v>
      </c>
      <c r="AA654" s="27" t="s">
        <v>2393</v>
      </c>
    </row>
    <row r="655" spans="1:27">
      <c r="A655" s="2" t="s">
        <v>2397</v>
      </c>
      <c r="B655" t="s">
        <v>217</v>
      </c>
      <c r="C655" t="s">
        <v>2398</v>
      </c>
      <c r="D655" s="5" t="s">
        <v>285</v>
      </c>
      <c r="P655">
        <v>15</v>
      </c>
      <c r="Q655">
        <v>1</v>
      </c>
      <c r="V655">
        <v>7</v>
      </c>
    </row>
    <row r="656" spans="1:27">
      <c r="A656" s="2" t="s">
        <v>2399</v>
      </c>
      <c r="B656" t="s">
        <v>2395</v>
      </c>
      <c r="C656" t="s">
        <v>2400</v>
      </c>
      <c r="D656" s="5" t="s">
        <v>281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2401</v>
      </c>
      <c r="B657" t="s">
        <v>1680</v>
      </c>
      <c r="C657" t="s">
        <v>2402</v>
      </c>
      <c r="D657" s="5" t="s">
        <v>1555</v>
      </c>
      <c r="F657">
        <v>7</v>
      </c>
      <c r="K657">
        <v>2</v>
      </c>
      <c r="Q657">
        <v>1</v>
      </c>
      <c r="W657" s="2" t="s">
        <v>2392</v>
      </c>
      <c r="Y657" s="6">
        <v>0.1</v>
      </c>
      <c r="AA657" s="27" t="s">
        <v>2403</v>
      </c>
    </row>
    <row r="658" spans="1:27">
      <c r="A658" s="2" t="s">
        <v>3050</v>
      </c>
      <c r="B658" t="s">
        <v>1666</v>
      </c>
      <c r="C658" t="s">
        <v>3048</v>
      </c>
      <c r="D658" t="s">
        <v>281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W658"/>
      <c r="Y658"/>
      <c r="AA658" t="s">
        <v>3049</v>
      </c>
    </row>
    <row r="659" spans="1:27">
      <c r="A659" s="2" t="s">
        <v>2404</v>
      </c>
      <c r="B659" t="s">
        <v>1668</v>
      </c>
      <c r="C659" t="s">
        <v>2405</v>
      </c>
      <c r="D659" s="5" t="s">
        <v>1558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V659">
        <v>9</v>
      </c>
    </row>
    <row r="660" spans="1:27">
      <c r="A660" s="2" t="s">
        <v>2406</v>
      </c>
      <c r="B660" t="s">
        <v>295</v>
      </c>
      <c r="C660" t="s">
        <v>2407</v>
      </c>
      <c r="D660" s="5" t="s">
        <v>2391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2408</v>
      </c>
      <c r="B661" t="s">
        <v>2395</v>
      </c>
      <c r="C661" t="s">
        <v>2409</v>
      </c>
      <c r="D661" s="5" t="s">
        <v>281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2410</v>
      </c>
      <c r="B662" t="s">
        <v>485</v>
      </c>
      <c r="C662" t="s">
        <v>2411</v>
      </c>
      <c r="D662" s="5" t="s">
        <v>2412</v>
      </c>
      <c r="G662">
        <v>17</v>
      </c>
      <c r="K662">
        <v>2</v>
      </c>
      <c r="Q662">
        <v>1</v>
      </c>
    </row>
    <row r="663" spans="1:27">
      <c r="A663" s="2" t="s">
        <v>2413</v>
      </c>
      <c r="B663" t="s">
        <v>217</v>
      </c>
      <c r="C663" t="s">
        <v>2414</v>
      </c>
      <c r="D663" s="5" t="s">
        <v>285</v>
      </c>
      <c r="O663">
        <v>6</v>
      </c>
      <c r="P663">
        <v>16</v>
      </c>
      <c r="Q663">
        <v>1</v>
      </c>
      <c r="V663">
        <v>9</v>
      </c>
    </row>
    <row r="664" spans="1:27">
      <c r="A664" s="2" t="s">
        <v>2415</v>
      </c>
      <c r="B664" t="s">
        <v>2395</v>
      </c>
      <c r="C664" t="s">
        <v>2416</v>
      </c>
      <c r="D664" s="5" t="s">
        <v>281</v>
      </c>
      <c r="F664">
        <v>10</v>
      </c>
      <c r="L664">
        <v>2</v>
      </c>
      <c r="Q664">
        <v>1</v>
      </c>
      <c r="W664" s="2" t="s">
        <v>2417</v>
      </c>
      <c r="Y664" s="6">
        <v>0.15</v>
      </c>
      <c r="AA664" t="s">
        <v>2418</v>
      </c>
    </row>
    <row r="665" spans="1:27">
      <c r="A665" s="2" t="s">
        <v>2427</v>
      </c>
      <c r="B665" t="s">
        <v>483</v>
      </c>
      <c r="C665" t="s">
        <v>2426</v>
      </c>
      <c r="D665" s="5" t="s">
        <v>281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2428</v>
      </c>
      <c r="B666" t="s">
        <v>483</v>
      </c>
      <c r="C666" t="s">
        <v>2429</v>
      </c>
      <c r="D666" s="5" t="s">
        <v>281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2430</v>
      </c>
      <c r="B667" t="s">
        <v>295</v>
      </c>
      <c r="C667" t="s">
        <v>2431</v>
      </c>
      <c r="D667" s="5" t="s">
        <v>2391</v>
      </c>
      <c r="J667">
        <v>4</v>
      </c>
      <c r="K667">
        <v>9</v>
      </c>
      <c r="Q667">
        <v>1</v>
      </c>
    </row>
    <row r="668" spans="1:27">
      <c r="A668" s="2" t="s">
        <v>2432</v>
      </c>
      <c r="B668" t="s">
        <v>485</v>
      </c>
      <c r="C668" t="s">
        <v>2433</v>
      </c>
      <c r="D668" s="5" t="s">
        <v>7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2434</v>
      </c>
      <c r="B669" t="s">
        <v>217</v>
      </c>
      <c r="C669" t="s">
        <v>2435</v>
      </c>
      <c r="D669" s="5" t="s">
        <v>285</v>
      </c>
      <c r="P669">
        <v>15</v>
      </c>
      <c r="Q669">
        <v>1</v>
      </c>
      <c r="V669">
        <v>9</v>
      </c>
    </row>
    <row r="670" spans="1:27">
      <c r="A670" s="2" t="s">
        <v>2436</v>
      </c>
      <c r="B670" t="s">
        <v>295</v>
      </c>
      <c r="C670" t="s">
        <v>2469</v>
      </c>
      <c r="D670" s="5" t="s">
        <v>2391</v>
      </c>
      <c r="F670">
        <v>2</v>
      </c>
      <c r="J670">
        <v>5</v>
      </c>
      <c r="K670">
        <v>10</v>
      </c>
      <c r="P670">
        <v>4</v>
      </c>
      <c r="Q670">
        <v>1</v>
      </c>
      <c r="W670" s="2" t="s">
        <v>2437</v>
      </c>
      <c r="AA670" t="s">
        <v>2438</v>
      </c>
    </row>
    <row r="671" spans="1:27">
      <c r="A671" s="2" t="s">
        <v>2439</v>
      </c>
      <c r="B671" t="s">
        <v>293</v>
      </c>
      <c r="C671" t="s">
        <v>2471</v>
      </c>
      <c r="D671" s="5" t="s">
        <v>2330</v>
      </c>
      <c r="O671">
        <v>17</v>
      </c>
      <c r="Q671">
        <v>1</v>
      </c>
      <c r="V671">
        <v>10</v>
      </c>
      <c r="W671" s="2" t="s">
        <v>2440</v>
      </c>
      <c r="AA671" t="s">
        <v>2441</v>
      </c>
    </row>
    <row r="672" spans="1:27">
      <c r="A672" s="2" t="s">
        <v>2442</v>
      </c>
      <c r="B672" t="s">
        <v>293</v>
      </c>
      <c r="C672" t="s">
        <v>2443</v>
      </c>
      <c r="D672" s="5" t="s">
        <v>2330</v>
      </c>
      <c r="O672">
        <v>19</v>
      </c>
      <c r="P672">
        <v>3</v>
      </c>
      <c r="Q672">
        <v>1</v>
      </c>
      <c r="V672">
        <v>12</v>
      </c>
      <c r="W672" s="2" t="s">
        <v>2444</v>
      </c>
      <c r="AA672" t="s">
        <v>2445</v>
      </c>
    </row>
    <row r="673" spans="1:27">
      <c r="A673" s="2" t="s">
        <v>2446</v>
      </c>
      <c r="B673" t="s">
        <v>1668</v>
      </c>
      <c r="C673" t="s">
        <v>2447</v>
      </c>
      <c r="D673" s="5" t="s">
        <v>1558</v>
      </c>
      <c r="F673">
        <v>12</v>
      </c>
      <c r="P673">
        <v>17</v>
      </c>
      <c r="Q673">
        <v>3.9</v>
      </c>
      <c r="R673">
        <v>0.7</v>
      </c>
      <c r="V673">
        <v>8</v>
      </c>
      <c r="W673" s="2" t="s">
        <v>2448</v>
      </c>
      <c r="AA673" t="s">
        <v>2449</v>
      </c>
    </row>
    <row r="674" spans="1:27">
      <c r="A674" s="2" t="s">
        <v>2450</v>
      </c>
      <c r="B674" t="s">
        <v>1680</v>
      </c>
      <c r="C674" t="s">
        <v>2451</v>
      </c>
      <c r="D674" s="5" t="s">
        <v>1557</v>
      </c>
      <c r="F674">
        <v>3</v>
      </c>
      <c r="J674">
        <v>6</v>
      </c>
      <c r="K674">
        <v>1</v>
      </c>
      <c r="Q674">
        <v>1</v>
      </c>
      <c r="W674" s="2" t="s">
        <v>2452</v>
      </c>
      <c r="AA674" t="s">
        <v>2453</v>
      </c>
    </row>
    <row r="675" spans="1:27">
      <c r="A675" s="2" t="s">
        <v>2454</v>
      </c>
      <c r="B675" t="s">
        <v>483</v>
      </c>
      <c r="C675" t="s">
        <v>2455</v>
      </c>
      <c r="D675" s="5" t="s">
        <v>281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2456</v>
      </c>
      <c r="B676" t="s">
        <v>293</v>
      </c>
      <c r="C676" t="s">
        <v>2457</v>
      </c>
      <c r="D676" s="5" t="s">
        <v>2330</v>
      </c>
      <c r="L676">
        <v>3</v>
      </c>
      <c r="O676">
        <v>14</v>
      </c>
      <c r="Q676">
        <v>1</v>
      </c>
      <c r="V676">
        <v>10</v>
      </c>
      <c r="W676" s="2" t="s">
        <v>2458</v>
      </c>
      <c r="AA676" t="s">
        <v>2459</v>
      </c>
    </row>
    <row r="677" spans="1:27">
      <c r="A677" s="2" t="s">
        <v>2460</v>
      </c>
      <c r="B677" t="s">
        <v>217</v>
      </c>
      <c r="C677" t="s">
        <v>2461</v>
      </c>
      <c r="D677" s="5" t="s">
        <v>285</v>
      </c>
      <c r="O677">
        <v>4</v>
      </c>
      <c r="P677">
        <v>17</v>
      </c>
      <c r="Q677">
        <v>1</v>
      </c>
      <c r="V677">
        <v>12</v>
      </c>
    </row>
    <row r="678" spans="1:27">
      <c r="A678" s="2" t="s">
        <v>2462</v>
      </c>
      <c r="B678" t="s">
        <v>483</v>
      </c>
      <c r="C678" t="s">
        <v>2463</v>
      </c>
      <c r="D678" s="5" t="s">
        <v>281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2476</v>
      </c>
      <c r="B679" t="s">
        <v>293</v>
      </c>
      <c r="C679" t="s">
        <v>2477</v>
      </c>
      <c r="D679" s="5" t="s">
        <v>2330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V679">
        <v>8</v>
      </c>
      <c r="W679" s="2" t="s">
        <v>2573</v>
      </c>
      <c r="Y679" s="6" t="s">
        <v>2500</v>
      </c>
      <c r="AA679" t="s">
        <v>2499</v>
      </c>
    </row>
    <row r="680" spans="1:27">
      <c r="A680" s="2" t="s">
        <v>2538</v>
      </c>
      <c r="B680" t="s">
        <v>294</v>
      </c>
      <c r="C680" t="s">
        <v>2539</v>
      </c>
      <c r="D680" s="5" t="s">
        <v>291</v>
      </c>
      <c r="M680">
        <v>2</v>
      </c>
      <c r="P680">
        <v>16</v>
      </c>
      <c r="Q680">
        <v>3.5</v>
      </c>
      <c r="R680">
        <v>0.5</v>
      </c>
      <c r="W680" s="2" t="s">
        <v>2540</v>
      </c>
      <c r="AA680" t="s">
        <v>2541</v>
      </c>
    </row>
    <row r="681" spans="1:27">
      <c r="A681" s="2" t="s">
        <v>2478</v>
      </c>
      <c r="B681" t="s">
        <v>293</v>
      </c>
      <c r="C681" t="s">
        <v>2479</v>
      </c>
      <c r="D681" s="5" t="s">
        <v>2330</v>
      </c>
      <c r="K681">
        <v>2</v>
      </c>
      <c r="O681">
        <v>25</v>
      </c>
      <c r="Q681">
        <v>1</v>
      </c>
      <c r="V681">
        <v>17</v>
      </c>
    </row>
    <row r="682" spans="1:27">
      <c r="A682" s="2" t="s">
        <v>3054</v>
      </c>
      <c r="B682" t="s">
        <v>2963</v>
      </c>
      <c r="C682" t="s">
        <v>3051</v>
      </c>
      <c r="D682" t="s">
        <v>286</v>
      </c>
      <c r="K682">
        <v>3</v>
      </c>
      <c r="O682">
        <v>15</v>
      </c>
      <c r="Q682">
        <v>1</v>
      </c>
      <c r="V682">
        <v>6</v>
      </c>
      <c r="W682"/>
      <c r="Y682"/>
      <c r="AA682" t="s">
        <v>3052</v>
      </c>
    </row>
    <row r="683" spans="1:27">
      <c r="A683" s="2" t="s">
        <v>3055</v>
      </c>
      <c r="B683" t="s">
        <v>486</v>
      </c>
      <c r="C683" t="s">
        <v>3053</v>
      </c>
      <c r="D683" t="s">
        <v>292</v>
      </c>
      <c r="I683">
        <v>15</v>
      </c>
      <c r="J683">
        <v>5</v>
      </c>
      <c r="K683">
        <v>2</v>
      </c>
      <c r="M683">
        <v>3</v>
      </c>
      <c r="Q683">
        <v>1</v>
      </c>
      <c r="W683"/>
      <c r="Y683"/>
    </row>
    <row r="684" spans="1:27">
      <c r="A684" s="2" t="s">
        <v>2480</v>
      </c>
      <c r="B684" t="s">
        <v>303</v>
      </c>
      <c r="C684" t="s">
        <v>2481</v>
      </c>
      <c r="D684" s="5" t="s">
        <v>284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V684">
        <v>5</v>
      </c>
      <c r="W684" s="2" t="s">
        <v>2574</v>
      </c>
      <c r="X684" s="6"/>
      <c r="Y684">
        <v>0.05</v>
      </c>
      <c r="AA684" t="s">
        <v>2482</v>
      </c>
    </row>
    <row r="685" spans="1:27">
      <c r="A685" s="2" t="s">
        <v>2501</v>
      </c>
      <c r="B685" t="s">
        <v>485</v>
      </c>
      <c r="C685" t="s">
        <v>2502</v>
      </c>
      <c r="D685" s="5" t="s">
        <v>7</v>
      </c>
      <c r="G685">
        <v>8</v>
      </c>
      <c r="I685">
        <v>13</v>
      </c>
      <c r="K685">
        <v>3</v>
      </c>
      <c r="M685">
        <v>3</v>
      </c>
      <c r="Q685">
        <v>1</v>
      </c>
      <c r="W685" s="2" t="s">
        <v>2188</v>
      </c>
      <c r="Y685" s="6">
        <v>0.1</v>
      </c>
      <c r="AA685" t="s">
        <v>2403</v>
      </c>
    </row>
    <row r="686" spans="1:27">
      <c r="A686" s="2" t="s">
        <v>2503</v>
      </c>
      <c r="B686" t="s">
        <v>485</v>
      </c>
      <c r="C686" t="s">
        <v>2504</v>
      </c>
      <c r="D686" s="5" t="s">
        <v>7</v>
      </c>
      <c r="G686">
        <v>17</v>
      </c>
      <c r="K686">
        <v>7</v>
      </c>
      <c r="M686">
        <v>2</v>
      </c>
      <c r="Q686">
        <v>1</v>
      </c>
      <c r="W686" s="2" t="s">
        <v>2574</v>
      </c>
      <c r="Y686">
        <v>0.1</v>
      </c>
      <c r="AA686" t="s">
        <v>2505</v>
      </c>
    </row>
    <row r="687" spans="1:27">
      <c r="A687" s="2" t="s">
        <v>2506</v>
      </c>
      <c r="B687" t="s">
        <v>485</v>
      </c>
      <c r="C687" t="s">
        <v>2507</v>
      </c>
      <c r="D687" s="5" t="s">
        <v>7</v>
      </c>
      <c r="G687">
        <v>10</v>
      </c>
      <c r="K687">
        <v>6</v>
      </c>
      <c r="M687">
        <v>4</v>
      </c>
      <c r="Q687">
        <v>1</v>
      </c>
      <c r="W687" s="2" t="s">
        <v>2508</v>
      </c>
      <c r="Y687"/>
      <c r="AA687" t="s">
        <v>2509</v>
      </c>
    </row>
    <row r="688" spans="1:27">
      <c r="A688" s="2" t="s">
        <v>2510</v>
      </c>
      <c r="B688" t="s">
        <v>303</v>
      </c>
      <c r="C688" t="s">
        <v>2511</v>
      </c>
      <c r="D688" s="5" t="s">
        <v>284</v>
      </c>
      <c r="G688">
        <v>11</v>
      </c>
      <c r="I688">
        <v>16</v>
      </c>
      <c r="J688">
        <v>5</v>
      </c>
      <c r="M688">
        <v>3</v>
      </c>
      <c r="Q688">
        <v>1</v>
      </c>
      <c r="V688">
        <v>5</v>
      </c>
      <c r="W688" s="2" t="s">
        <v>2512</v>
      </c>
      <c r="Y688"/>
      <c r="AA688" t="s">
        <v>2513</v>
      </c>
    </row>
    <row r="689" spans="1:27">
      <c r="A689" s="2" t="s">
        <v>2514</v>
      </c>
      <c r="B689" t="s">
        <v>1668</v>
      </c>
      <c r="C689" t="s">
        <v>2515</v>
      </c>
      <c r="D689" s="5" t="s">
        <v>1558</v>
      </c>
      <c r="F689">
        <v>11</v>
      </c>
      <c r="P689">
        <v>15</v>
      </c>
      <c r="Q689">
        <v>3.5</v>
      </c>
      <c r="R689">
        <v>0.7</v>
      </c>
      <c r="T689">
        <v>19</v>
      </c>
      <c r="V689">
        <v>5</v>
      </c>
      <c r="W689" s="2" t="s">
        <v>2516</v>
      </c>
      <c r="Y689"/>
      <c r="AA689" t="s">
        <v>2517</v>
      </c>
    </row>
    <row r="690" spans="1:27">
      <c r="A690" s="2" t="s">
        <v>2518</v>
      </c>
      <c r="B690" t="s">
        <v>1680</v>
      </c>
      <c r="C690" t="s">
        <v>2519</v>
      </c>
      <c r="D690" s="5" t="s">
        <v>1555</v>
      </c>
      <c r="F690">
        <v>3</v>
      </c>
      <c r="J690">
        <v>7</v>
      </c>
      <c r="K690">
        <v>5</v>
      </c>
      <c r="Q690">
        <v>1</v>
      </c>
      <c r="W690" s="2" t="s">
        <v>2520</v>
      </c>
      <c r="Y690"/>
      <c r="AA690" t="s">
        <v>2521</v>
      </c>
    </row>
    <row r="691" spans="1:27">
      <c r="A691" s="2" t="s">
        <v>2522</v>
      </c>
      <c r="B691" t="s">
        <v>485</v>
      </c>
      <c r="C691" t="s">
        <v>2523</v>
      </c>
      <c r="D691" s="5" t="s">
        <v>7</v>
      </c>
      <c r="G691">
        <v>12</v>
      </c>
      <c r="K691">
        <v>7</v>
      </c>
      <c r="Q691">
        <v>1</v>
      </c>
      <c r="Y691"/>
    </row>
    <row r="692" spans="1:27">
      <c r="A692" s="2" t="s">
        <v>2524</v>
      </c>
      <c r="B692" t="s">
        <v>486</v>
      </c>
      <c r="C692" t="s">
        <v>2525</v>
      </c>
      <c r="D692" s="5" t="s">
        <v>292</v>
      </c>
      <c r="F692">
        <v>4</v>
      </c>
      <c r="I692">
        <v>17</v>
      </c>
      <c r="L692">
        <v>1</v>
      </c>
      <c r="M692">
        <v>3</v>
      </c>
      <c r="Q692">
        <v>1</v>
      </c>
      <c r="Y692"/>
    </row>
    <row r="693" spans="1:27">
      <c r="A693" s="2" t="s">
        <v>2526</v>
      </c>
      <c r="B693" t="s">
        <v>217</v>
      </c>
      <c r="C693" t="s">
        <v>2527</v>
      </c>
      <c r="D693" s="5" t="s">
        <v>285</v>
      </c>
      <c r="P693">
        <v>16</v>
      </c>
      <c r="Q693">
        <v>1</v>
      </c>
      <c r="V693">
        <v>10</v>
      </c>
      <c r="Y693"/>
    </row>
    <row r="694" spans="1:27">
      <c r="A694" s="2" t="s">
        <v>2528</v>
      </c>
      <c r="B694" t="s">
        <v>1666</v>
      </c>
      <c r="C694" t="s">
        <v>2529</v>
      </c>
      <c r="D694" s="5" t="s">
        <v>281</v>
      </c>
      <c r="F694">
        <v>31</v>
      </c>
      <c r="H694">
        <v>1</v>
      </c>
      <c r="L694">
        <v>3</v>
      </c>
      <c r="Q694">
        <v>1</v>
      </c>
      <c r="Y694"/>
    </row>
    <row r="695" spans="1:27">
      <c r="A695" s="2" t="s">
        <v>2530</v>
      </c>
      <c r="B695" t="s">
        <v>2067</v>
      </c>
      <c r="C695" t="s">
        <v>2531</v>
      </c>
      <c r="D695" s="5" t="s">
        <v>1556</v>
      </c>
      <c r="F695">
        <v>22</v>
      </c>
      <c r="Q695">
        <v>1</v>
      </c>
      <c r="S695">
        <v>23</v>
      </c>
      <c r="V695">
        <v>8</v>
      </c>
      <c r="W695" s="2" t="s">
        <v>2532</v>
      </c>
      <c r="Y695"/>
      <c r="AA695" t="s">
        <v>2533</v>
      </c>
    </row>
    <row r="696" spans="1:27">
      <c r="A696" s="2" t="s">
        <v>2575</v>
      </c>
      <c r="B696" t="s">
        <v>486</v>
      </c>
      <c r="C696" t="s">
        <v>2576</v>
      </c>
      <c r="D696" t="s">
        <v>2577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2578</v>
      </c>
      <c r="B697" t="s">
        <v>485</v>
      </c>
      <c r="C697" t="s">
        <v>2579</v>
      </c>
      <c r="D697" t="s">
        <v>7</v>
      </c>
      <c r="G697">
        <v>18</v>
      </c>
      <c r="K697">
        <v>-1</v>
      </c>
      <c r="Q697">
        <v>1</v>
      </c>
      <c r="W697" s="2" t="s">
        <v>2188</v>
      </c>
      <c r="Y697" s="6">
        <v>0.05</v>
      </c>
      <c r="AA697" t="s">
        <v>2393</v>
      </c>
    </row>
    <row r="698" spans="1:27">
      <c r="A698" s="2" t="s">
        <v>2580</v>
      </c>
      <c r="B698" t="s">
        <v>303</v>
      </c>
      <c r="C698" t="s">
        <v>2581</v>
      </c>
      <c r="D698" s="5" t="s">
        <v>284</v>
      </c>
      <c r="G698">
        <v>12</v>
      </c>
      <c r="I698">
        <v>8</v>
      </c>
      <c r="J698">
        <v>3</v>
      </c>
      <c r="Q698">
        <v>1</v>
      </c>
      <c r="V698">
        <v>4</v>
      </c>
      <c r="Y698"/>
    </row>
    <row r="699" spans="1:27">
      <c r="A699" s="2" t="s">
        <v>2582</v>
      </c>
      <c r="B699" t="s">
        <v>293</v>
      </c>
      <c r="C699" t="s">
        <v>2583</v>
      </c>
      <c r="D699" s="5" t="s">
        <v>2330</v>
      </c>
      <c r="I699">
        <v>3</v>
      </c>
      <c r="J699">
        <v>2</v>
      </c>
      <c r="O699">
        <v>14</v>
      </c>
      <c r="Q699">
        <v>1</v>
      </c>
      <c r="V699">
        <v>9</v>
      </c>
      <c r="Y699"/>
    </row>
    <row r="700" spans="1:27">
      <c r="A700" s="2" t="s">
        <v>2584</v>
      </c>
      <c r="B700" t="s">
        <v>293</v>
      </c>
      <c r="C700" t="s">
        <v>2585</v>
      </c>
      <c r="D700" s="5" t="s">
        <v>2330</v>
      </c>
      <c r="O700">
        <v>20</v>
      </c>
      <c r="P700">
        <v>5</v>
      </c>
      <c r="Q700">
        <v>1</v>
      </c>
      <c r="V700">
        <v>15</v>
      </c>
      <c r="W700" s="2" t="s">
        <v>2188</v>
      </c>
      <c r="Y700">
        <v>0.1</v>
      </c>
      <c r="AA700" t="s">
        <v>2586</v>
      </c>
    </row>
    <row r="701" spans="1:27">
      <c r="A701" s="2" t="s">
        <v>2587</v>
      </c>
      <c r="B701" t="s">
        <v>486</v>
      </c>
      <c r="C701" t="s">
        <v>2588</v>
      </c>
      <c r="D701" t="s">
        <v>2577</v>
      </c>
      <c r="F701">
        <v>11</v>
      </c>
      <c r="I701">
        <v>15</v>
      </c>
      <c r="K701">
        <v>3</v>
      </c>
      <c r="Q701">
        <v>1</v>
      </c>
      <c r="W701" s="2" t="s">
        <v>2188</v>
      </c>
      <c r="Y701" s="6">
        <v>0.05</v>
      </c>
      <c r="AA701" t="s">
        <v>2393</v>
      </c>
    </row>
    <row r="702" spans="1:27">
      <c r="A702" s="2" t="s">
        <v>2589</v>
      </c>
      <c r="B702" t="s">
        <v>293</v>
      </c>
      <c r="C702" t="s">
        <v>2590</v>
      </c>
      <c r="D702" s="5" t="s">
        <v>2330</v>
      </c>
      <c r="L702">
        <v>2</v>
      </c>
      <c r="M702">
        <v>1</v>
      </c>
      <c r="O702">
        <v>14</v>
      </c>
      <c r="P702">
        <v>7</v>
      </c>
      <c r="Q702">
        <v>1</v>
      </c>
      <c r="V702">
        <v>6</v>
      </c>
      <c r="W702" s="2" t="s">
        <v>2157</v>
      </c>
      <c r="Y702" s="6">
        <v>0.1</v>
      </c>
      <c r="AA702" t="s">
        <v>2347</v>
      </c>
    </row>
    <row r="703" spans="1:27">
      <c r="A703" s="2" t="s">
        <v>2591</v>
      </c>
      <c r="B703" t="s">
        <v>303</v>
      </c>
      <c r="C703" t="s">
        <v>2592</v>
      </c>
      <c r="D703" s="5" t="s">
        <v>284</v>
      </c>
      <c r="G703">
        <v>17</v>
      </c>
      <c r="I703">
        <v>3</v>
      </c>
      <c r="K703">
        <v>2</v>
      </c>
      <c r="Q703">
        <v>1</v>
      </c>
      <c r="V703">
        <v>6</v>
      </c>
      <c r="W703" s="2" t="s">
        <v>2593</v>
      </c>
      <c r="Y703">
        <v>0.5</v>
      </c>
      <c r="AA703" t="s">
        <v>2594</v>
      </c>
    </row>
    <row r="704" spans="1:27">
      <c r="A704" s="2" t="s">
        <v>2595</v>
      </c>
      <c r="B704" t="s">
        <v>303</v>
      </c>
      <c r="C704" t="s">
        <v>2596</v>
      </c>
      <c r="D704" s="5" t="s">
        <v>284</v>
      </c>
      <c r="G704">
        <v>19</v>
      </c>
      <c r="I704">
        <v>3</v>
      </c>
      <c r="Q704">
        <v>1</v>
      </c>
      <c r="V704">
        <v>9</v>
      </c>
      <c r="W704" s="2" t="s">
        <v>2593</v>
      </c>
      <c r="Y704">
        <v>0.4</v>
      </c>
      <c r="AA704" t="s">
        <v>2597</v>
      </c>
    </row>
    <row r="705" spans="1:27">
      <c r="A705" s="2" t="s">
        <v>2598</v>
      </c>
      <c r="B705" t="s">
        <v>293</v>
      </c>
      <c r="C705" t="s">
        <v>2599</v>
      </c>
      <c r="D705" s="5" t="s">
        <v>2330</v>
      </c>
      <c r="J705">
        <v>2</v>
      </c>
      <c r="K705">
        <v>3</v>
      </c>
      <c r="O705">
        <v>13</v>
      </c>
      <c r="Q705">
        <v>1</v>
      </c>
      <c r="V705">
        <v>5</v>
      </c>
      <c r="W705" s="2" t="s">
        <v>2600</v>
      </c>
      <c r="Y705"/>
      <c r="AA705" t="s">
        <v>2601</v>
      </c>
    </row>
    <row r="706" spans="1:27">
      <c r="A706" s="2" t="s">
        <v>2602</v>
      </c>
      <c r="B706" t="s">
        <v>294</v>
      </c>
      <c r="C706" t="s">
        <v>2603</v>
      </c>
      <c r="D706" s="5" t="s">
        <v>291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W706" s="2" t="s">
        <v>2604</v>
      </c>
      <c r="Y706"/>
      <c r="AA706" t="s">
        <v>2605</v>
      </c>
    </row>
    <row r="707" spans="1:27">
      <c r="A707" s="2" t="s">
        <v>2606</v>
      </c>
      <c r="B707" t="s">
        <v>1668</v>
      </c>
      <c r="C707" t="s">
        <v>2607</v>
      </c>
      <c r="D707" s="5" t="s">
        <v>1558</v>
      </c>
      <c r="F707">
        <v>14</v>
      </c>
      <c r="P707">
        <v>16</v>
      </c>
      <c r="Q707">
        <v>3.8</v>
      </c>
      <c r="R707">
        <v>0.8</v>
      </c>
      <c r="T707">
        <v>21</v>
      </c>
      <c r="V707">
        <v>6</v>
      </c>
      <c r="Y707"/>
    </row>
    <row r="708" spans="1:27">
      <c r="A708" s="2" t="s">
        <v>2608</v>
      </c>
      <c r="B708" t="s">
        <v>1680</v>
      </c>
      <c r="C708" t="s">
        <v>2609</v>
      </c>
      <c r="D708" s="5" t="s">
        <v>1557</v>
      </c>
      <c r="F708">
        <v>2</v>
      </c>
      <c r="J708">
        <v>3</v>
      </c>
      <c r="K708">
        <v>2</v>
      </c>
      <c r="Q708">
        <v>1</v>
      </c>
      <c r="Y708"/>
    </row>
    <row r="709" spans="1:27">
      <c r="A709" s="2" t="s">
        <v>2610</v>
      </c>
      <c r="B709" t="s">
        <v>293</v>
      </c>
      <c r="C709" t="s">
        <v>2611</v>
      </c>
      <c r="D709" s="5" t="s">
        <v>2330</v>
      </c>
      <c r="K709">
        <v>2</v>
      </c>
      <c r="O709">
        <v>16</v>
      </c>
      <c r="Q709">
        <v>1</v>
      </c>
      <c r="V709">
        <v>7</v>
      </c>
      <c r="W709" s="2" t="s">
        <v>2612</v>
      </c>
      <c r="Y709"/>
      <c r="AA709" t="s">
        <v>2613</v>
      </c>
    </row>
    <row r="710" spans="1:27">
      <c r="A710" s="2" t="s">
        <v>2614</v>
      </c>
      <c r="B710" t="s">
        <v>483</v>
      </c>
      <c r="C710" t="s">
        <v>2831</v>
      </c>
      <c r="D710" s="5" t="s">
        <v>281</v>
      </c>
      <c r="F710">
        <v>27</v>
      </c>
      <c r="K710">
        <v>3</v>
      </c>
      <c r="L710">
        <v>3</v>
      </c>
      <c r="Q710">
        <v>1</v>
      </c>
      <c r="Y710"/>
    </row>
    <row r="711" spans="1:27">
      <c r="A711" s="2" t="s">
        <v>2615</v>
      </c>
      <c r="B711" t="s">
        <v>2644</v>
      </c>
      <c r="C711" t="s">
        <v>2616</v>
      </c>
      <c r="D711" s="5" t="s">
        <v>2645</v>
      </c>
      <c r="F711">
        <v>25</v>
      </c>
      <c r="Q711">
        <v>1</v>
      </c>
      <c r="S711">
        <v>22</v>
      </c>
      <c r="V711">
        <v>12</v>
      </c>
      <c r="W711" s="2" t="s">
        <v>2617</v>
      </c>
      <c r="Y711"/>
      <c r="AA711" t="s">
        <v>2618</v>
      </c>
    </row>
    <row r="712" spans="1:27">
      <c r="A712" s="2" t="s">
        <v>2619</v>
      </c>
      <c r="B712" t="s">
        <v>1680</v>
      </c>
      <c r="C712" t="s">
        <v>2620</v>
      </c>
      <c r="D712" s="5" t="s">
        <v>1555</v>
      </c>
      <c r="F712">
        <v>4</v>
      </c>
      <c r="K712">
        <v>2</v>
      </c>
      <c r="Q712">
        <v>1</v>
      </c>
      <c r="W712" s="2" t="s">
        <v>2621</v>
      </c>
      <c r="Y712"/>
      <c r="AA712" t="s">
        <v>2622</v>
      </c>
    </row>
    <row r="713" spans="1:27">
      <c r="A713" s="2" t="s">
        <v>2623</v>
      </c>
      <c r="B713" t="s">
        <v>217</v>
      </c>
      <c r="C713" t="s">
        <v>2624</v>
      </c>
      <c r="D713" s="5" t="s">
        <v>285</v>
      </c>
      <c r="O713">
        <v>2</v>
      </c>
      <c r="P713">
        <v>17</v>
      </c>
      <c r="Q713">
        <v>1</v>
      </c>
      <c r="V713">
        <v>9</v>
      </c>
      <c r="Y713"/>
    </row>
    <row r="714" spans="1:27">
      <c r="A714" s="2" t="s">
        <v>2625</v>
      </c>
      <c r="B714" t="s">
        <v>217</v>
      </c>
      <c r="C714" t="s">
        <v>2626</v>
      </c>
      <c r="D714" s="5" t="s">
        <v>285</v>
      </c>
      <c r="O714">
        <v>10</v>
      </c>
      <c r="P714">
        <v>19</v>
      </c>
      <c r="Q714">
        <v>1</v>
      </c>
      <c r="V714">
        <v>12</v>
      </c>
      <c r="Y714"/>
    </row>
    <row r="715" spans="1:27">
      <c r="A715" s="2" t="s">
        <v>2627</v>
      </c>
      <c r="B715" t="s">
        <v>293</v>
      </c>
      <c r="C715" t="s">
        <v>2628</v>
      </c>
      <c r="D715" s="5" t="s">
        <v>2330</v>
      </c>
      <c r="K715">
        <v>3</v>
      </c>
      <c r="O715">
        <v>26</v>
      </c>
      <c r="Q715">
        <v>1</v>
      </c>
      <c r="V715">
        <v>15</v>
      </c>
      <c r="Y715"/>
    </row>
    <row r="716" spans="1:27">
      <c r="A716" s="2" t="s">
        <v>2629</v>
      </c>
      <c r="B716" t="s">
        <v>293</v>
      </c>
      <c r="C716" t="s">
        <v>2630</v>
      </c>
      <c r="D716" s="5" t="s">
        <v>2330</v>
      </c>
      <c r="O716">
        <v>22</v>
      </c>
      <c r="Q716">
        <v>1</v>
      </c>
      <c r="V716">
        <v>14</v>
      </c>
      <c r="W716" s="2" t="s">
        <v>2631</v>
      </c>
      <c r="Y716"/>
      <c r="AA716" t="s">
        <v>2632</v>
      </c>
    </row>
    <row r="717" spans="1:27">
      <c r="A717" s="2" t="s">
        <v>2633</v>
      </c>
      <c r="B717" t="s">
        <v>1680</v>
      </c>
      <c r="C717" t="s">
        <v>2634</v>
      </c>
      <c r="D717" s="5" t="s">
        <v>1555</v>
      </c>
      <c r="F717">
        <v>9</v>
      </c>
      <c r="K717">
        <v>3</v>
      </c>
      <c r="Q717">
        <v>1</v>
      </c>
      <c r="W717" s="2" t="s">
        <v>2635</v>
      </c>
      <c r="Y717"/>
      <c r="AA717" t="s">
        <v>2636</v>
      </c>
    </row>
    <row r="718" spans="1:27">
      <c r="A718" s="2" t="s">
        <v>2642</v>
      </c>
      <c r="B718" t="s">
        <v>1666</v>
      </c>
      <c r="C718" t="s">
        <v>3061</v>
      </c>
      <c r="D718" t="s">
        <v>281</v>
      </c>
      <c r="E718">
        <v>1</v>
      </c>
      <c r="F718">
        <v>23</v>
      </c>
      <c r="L718">
        <v>3</v>
      </c>
      <c r="Q718">
        <v>1</v>
      </c>
      <c r="W718"/>
      <c r="Y718"/>
    </row>
    <row r="719" spans="1:27">
      <c r="A719" s="2" t="s">
        <v>3062</v>
      </c>
      <c r="B719" t="s">
        <v>1666</v>
      </c>
      <c r="C719" t="s">
        <v>3056</v>
      </c>
      <c r="D719" t="s">
        <v>281</v>
      </c>
      <c r="F719">
        <v>5</v>
      </c>
      <c r="P719">
        <v>15</v>
      </c>
      <c r="Q719">
        <v>4.5</v>
      </c>
      <c r="R719">
        <v>0.5</v>
      </c>
      <c r="W719"/>
      <c r="Y719"/>
      <c r="AA719" t="s">
        <v>3057</v>
      </c>
    </row>
    <row r="720" spans="1:27">
      <c r="A720" s="2" t="s">
        <v>3063</v>
      </c>
      <c r="B720" t="s">
        <v>2955</v>
      </c>
      <c r="C720" t="s">
        <v>3058</v>
      </c>
      <c r="D720" t="s">
        <v>285</v>
      </c>
      <c r="M720">
        <v>6</v>
      </c>
      <c r="P720">
        <v>13</v>
      </c>
      <c r="Q720">
        <v>1</v>
      </c>
      <c r="V720">
        <v>5</v>
      </c>
      <c r="W720"/>
      <c r="Y720"/>
      <c r="AA720" t="s">
        <v>1705</v>
      </c>
    </row>
    <row r="721" spans="1:27">
      <c r="A721" s="2" t="s">
        <v>3064</v>
      </c>
      <c r="B721" t="s">
        <v>2963</v>
      </c>
      <c r="C721" t="s">
        <v>3059</v>
      </c>
      <c r="D721" t="s">
        <v>286</v>
      </c>
      <c r="I721">
        <v>3</v>
      </c>
      <c r="J721">
        <v>5</v>
      </c>
      <c r="N721">
        <v>2</v>
      </c>
      <c r="O721">
        <v>5</v>
      </c>
      <c r="Q721">
        <v>1</v>
      </c>
      <c r="V721">
        <v>5</v>
      </c>
      <c r="W721"/>
      <c r="Y721"/>
      <c r="AA721" t="s">
        <v>3060</v>
      </c>
    </row>
    <row r="722" spans="1:27">
      <c r="A722" s="2" t="s">
        <v>2662</v>
      </c>
      <c r="B722" t="s">
        <v>483</v>
      </c>
      <c r="C722" t="s">
        <v>2663</v>
      </c>
      <c r="D722" s="5" t="s">
        <v>281</v>
      </c>
      <c r="F722">
        <v>12</v>
      </c>
      <c r="K722">
        <v>2</v>
      </c>
      <c r="L722">
        <v>2</v>
      </c>
      <c r="Q722">
        <v>1</v>
      </c>
      <c r="W722" s="2" t="s">
        <v>2664</v>
      </c>
      <c r="Y722" s="6">
        <v>0.2</v>
      </c>
    </row>
    <row r="723" spans="1:27">
      <c r="A723" s="2" t="s">
        <v>2677</v>
      </c>
      <c r="B723" t="s">
        <v>485</v>
      </c>
      <c r="C723" t="s">
        <v>2676</v>
      </c>
      <c r="D723" t="s">
        <v>7</v>
      </c>
      <c r="G723">
        <v>18</v>
      </c>
      <c r="Q723">
        <v>1</v>
      </c>
      <c r="W723" s="2" t="s">
        <v>2678</v>
      </c>
      <c r="AA723" t="s">
        <v>2679</v>
      </c>
    </row>
    <row r="724" spans="1:27">
      <c r="A724" s="2" t="s">
        <v>2654</v>
      </c>
      <c r="B724" t="s">
        <v>2067</v>
      </c>
      <c r="C724" t="s">
        <v>2655</v>
      </c>
      <c r="D724" s="5" t="s">
        <v>1556</v>
      </c>
      <c r="F724">
        <v>23</v>
      </c>
      <c r="M724">
        <v>1</v>
      </c>
      <c r="Q724">
        <v>1</v>
      </c>
      <c r="S724">
        <v>29</v>
      </c>
      <c r="V724">
        <v>8</v>
      </c>
      <c r="W724" s="2" t="s">
        <v>2656</v>
      </c>
      <c r="AA724" t="s">
        <v>2680</v>
      </c>
    </row>
    <row r="725" spans="1:27">
      <c r="A725" s="2" t="s">
        <v>2681</v>
      </c>
      <c r="B725" t="s">
        <v>293</v>
      </c>
      <c r="C725" t="s">
        <v>2685</v>
      </c>
      <c r="D725" s="5" t="s">
        <v>2330</v>
      </c>
      <c r="K725">
        <v>3</v>
      </c>
      <c r="L725">
        <v>3</v>
      </c>
      <c r="O725">
        <v>12</v>
      </c>
      <c r="Q725">
        <v>1</v>
      </c>
      <c r="V725">
        <v>5</v>
      </c>
      <c r="W725" s="2" t="s">
        <v>2686</v>
      </c>
      <c r="Y725" s="6">
        <v>0.15</v>
      </c>
    </row>
    <row r="726" spans="1:27">
      <c r="A726" s="2" t="s">
        <v>2682</v>
      </c>
      <c r="B726" t="s">
        <v>485</v>
      </c>
      <c r="C726" t="s">
        <v>2687</v>
      </c>
      <c r="D726" t="s">
        <v>7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2683</v>
      </c>
      <c r="B727" t="s">
        <v>293</v>
      </c>
      <c r="C727" t="s">
        <v>2688</v>
      </c>
      <c r="D727" s="5" t="s">
        <v>2330</v>
      </c>
      <c r="K727">
        <v>2</v>
      </c>
      <c r="O727">
        <v>27</v>
      </c>
      <c r="Q727">
        <v>1</v>
      </c>
      <c r="V727">
        <v>20</v>
      </c>
    </row>
    <row r="728" spans="1:27">
      <c r="A728" s="2" t="s">
        <v>2684</v>
      </c>
      <c r="B728" t="s">
        <v>483</v>
      </c>
      <c r="C728" t="s">
        <v>2689</v>
      </c>
      <c r="D728" s="5" t="s">
        <v>281</v>
      </c>
      <c r="F728">
        <v>32</v>
      </c>
      <c r="L728">
        <v>3</v>
      </c>
      <c r="Q728">
        <v>1</v>
      </c>
    </row>
    <row r="729" spans="1:27">
      <c r="A729" s="2" t="s">
        <v>2665</v>
      </c>
      <c r="B729" t="s">
        <v>293</v>
      </c>
      <c r="C729" t="s">
        <v>2666</v>
      </c>
      <c r="D729" s="5" t="s">
        <v>2330</v>
      </c>
      <c r="O729">
        <v>22</v>
      </c>
      <c r="P729">
        <v>5</v>
      </c>
      <c r="Q729">
        <v>1</v>
      </c>
      <c r="V729">
        <v>18</v>
      </c>
      <c r="W729" s="2" t="s">
        <v>2664</v>
      </c>
      <c r="Y729" s="6">
        <v>0.15</v>
      </c>
    </row>
    <row r="730" spans="1:27">
      <c r="A730" s="2" t="s">
        <v>2690</v>
      </c>
      <c r="B730" t="s">
        <v>485</v>
      </c>
      <c r="C730" t="s">
        <v>2691</v>
      </c>
      <c r="D730" t="s">
        <v>7</v>
      </c>
      <c r="G730">
        <v>15</v>
      </c>
      <c r="K730">
        <v>3</v>
      </c>
      <c r="M730">
        <v>4</v>
      </c>
      <c r="Q730">
        <v>1</v>
      </c>
      <c r="W730" s="2" t="s">
        <v>2693</v>
      </c>
      <c r="AA730" t="s">
        <v>2692</v>
      </c>
    </row>
    <row r="731" spans="1:27">
      <c r="A731" s="2" t="s">
        <v>2648</v>
      </c>
      <c r="B731" t="s">
        <v>2067</v>
      </c>
      <c r="C731" t="s">
        <v>2649</v>
      </c>
      <c r="D731" s="5" t="s">
        <v>1556</v>
      </c>
      <c r="F731">
        <v>22</v>
      </c>
      <c r="M731">
        <v>1</v>
      </c>
      <c r="Q731">
        <v>1</v>
      </c>
      <c r="S731">
        <v>23</v>
      </c>
      <c r="V731">
        <v>9</v>
      </c>
      <c r="W731" s="2" t="s">
        <v>2653</v>
      </c>
      <c r="AA731" t="s">
        <v>2694</v>
      </c>
    </row>
    <row r="732" spans="1:27">
      <c r="A732" s="2" t="s">
        <v>2651</v>
      </c>
      <c r="B732" t="s">
        <v>1680</v>
      </c>
      <c r="C732" t="s">
        <v>2650</v>
      </c>
      <c r="D732" s="5" t="s">
        <v>1555</v>
      </c>
      <c r="F732">
        <v>4</v>
      </c>
      <c r="K732">
        <v>2</v>
      </c>
      <c r="Q732">
        <v>1</v>
      </c>
      <c r="W732" s="2" t="s">
        <v>2652</v>
      </c>
      <c r="AA732" t="s">
        <v>2695</v>
      </c>
    </row>
    <row r="733" spans="1:27">
      <c r="A733" s="2" t="s">
        <v>2696</v>
      </c>
      <c r="B733" t="s">
        <v>1668</v>
      </c>
      <c r="C733" t="s">
        <v>2700</v>
      </c>
      <c r="D733" s="5" t="s">
        <v>1558</v>
      </c>
      <c r="F733">
        <v>23</v>
      </c>
      <c r="P733">
        <v>16</v>
      </c>
      <c r="Q733">
        <v>3.8</v>
      </c>
      <c r="R733">
        <v>0.8</v>
      </c>
      <c r="T733">
        <v>19</v>
      </c>
      <c r="V733">
        <v>7</v>
      </c>
    </row>
    <row r="734" spans="1:27">
      <c r="A734" s="2" t="s">
        <v>2697</v>
      </c>
      <c r="B734" t="s">
        <v>1680</v>
      </c>
      <c r="C734" t="s">
        <v>2701</v>
      </c>
      <c r="D734" s="5" t="s">
        <v>1557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2698</v>
      </c>
      <c r="B735" t="s">
        <v>295</v>
      </c>
      <c r="C735" t="s">
        <v>2702</v>
      </c>
      <c r="D735" s="5" t="s">
        <v>2391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2699</v>
      </c>
      <c r="B736" t="s">
        <v>486</v>
      </c>
      <c r="C736" t="s">
        <v>2703</v>
      </c>
      <c r="D736" s="5" t="s">
        <v>292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2672</v>
      </c>
      <c r="B737" t="s">
        <v>485</v>
      </c>
      <c r="C737" t="s">
        <v>2673</v>
      </c>
      <c r="D737" t="s">
        <v>7</v>
      </c>
      <c r="G737">
        <v>23</v>
      </c>
      <c r="Q737">
        <v>1</v>
      </c>
      <c r="W737" s="2" t="s">
        <v>2674</v>
      </c>
      <c r="AA737" t="s">
        <v>2675</v>
      </c>
    </row>
    <row r="738" spans="1:27">
      <c r="A738" s="2" t="s">
        <v>2667</v>
      </c>
      <c r="B738" t="s">
        <v>485</v>
      </c>
      <c r="C738" t="s">
        <v>2668</v>
      </c>
      <c r="D738" t="s">
        <v>7</v>
      </c>
      <c r="G738">
        <v>15</v>
      </c>
      <c r="K738">
        <v>1</v>
      </c>
      <c r="L738">
        <v>3</v>
      </c>
      <c r="M738">
        <v>1</v>
      </c>
      <c r="Q738">
        <v>1</v>
      </c>
      <c r="W738" s="2" t="s">
        <v>2669</v>
      </c>
      <c r="Y738" s="6">
        <v>0.15</v>
      </c>
    </row>
    <row r="739" spans="1:27" s="7" customFormat="1">
      <c r="A739" s="8" t="s">
        <v>2670</v>
      </c>
      <c r="B739" s="7" t="s">
        <v>485</v>
      </c>
      <c r="C739" s="7" t="s">
        <v>2671</v>
      </c>
      <c r="D739" s="7" t="s">
        <v>7</v>
      </c>
      <c r="G739" s="7">
        <v>15</v>
      </c>
      <c r="K739" s="7">
        <v>3</v>
      </c>
      <c r="M739" s="7">
        <v>7</v>
      </c>
      <c r="Q739" s="7">
        <v>1</v>
      </c>
      <c r="W739" s="8" t="s">
        <v>2704</v>
      </c>
      <c r="Y739" s="34"/>
      <c r="AA739" t="s">
        <v>2705</v>
      </c>
    </row>
    <row r="740" spans="1:27">
      <c r="A740" s="8" t="s">
        <v>2707</v>
      </c>
      <c r="B740" t="s">
        <v>483</v>
      </c>
      <c r="C740" t="s">
        <v>2706</v>
      </c>
      <c r="D740" s="5" t="s">
        <v>281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W740" s="2" t="s">
        <v>2708</v>
      </c>
      <c r="AA740" t="s">
        <v>2709</v>
      </c>
    </row>
    <row r="741" spans="1:27">
      <c r="A741" s="8" t="s">
        <v>3070</v>
      </c>
      <c r="B741" t="s">
        <v>294</v>
      </c>
      <c r="C741" t="s">
        <v>3065</v>
      </c>
      <c r="D741" t="s">
        <v>291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W741"/>
      <c r="Y741"/>
      <c r="AA741" t="s">
        <v>3066</v>
      </c>
    </row>
    <row r="742" spans="1:27">
      <c r="A742" s="8" t="s">
        <v>3071</v>
      </c>
      <c r="B742" t="s">
        <v>293</v>
      </c>
      <c r="C742" t="s">
        <v>2743</v>
      </c>
      <c r="D742" s="5" t="s">
        <v>2330</v>
      </c>
      <c r="K742">
        <v>3</v>
      </c>
      <c r="O742">
        <v>16</v>
      </c>
      <c r="Q742">
        <v>1</v>
      </c>
      <c r="V742">
        <v>10</v>
      </c>
    </row>
    <row r="743" spans="1:27">
      <c r="A743" s="8" t="s">
        <v>3072</v>
      </c>
      <c r="B743" t="s">
        <v>483</v>
      </c>
      <c r="C743" t="s">
        <v>2744</v>
      </c>
      <c r="D743" s="5" t="s">
        <v>281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3073</v>
      </c>
      <c r="B744" t="s">
        <v>293</v>
      </c>
      <c r="C744" t="s">
        <v>2745</v>
      </c>
      <c r="D744" s="5" t="s">
        <v>2330</v>
      </c>
      <c r="I744">
        <v>2</v>
      </c>
      <c r="O744">
        <v>18</v>
      </c>
      <c r="Q744">
        <v>1</v>
      </c>
      <c r="V744">
        <v>7</v>
      </c>
      <c r="W744" s="2" t="s">
        <v>2747</v>
      </c>
      <c r="Y744" s="6">
        <v>0.25</v>
      </c>
      <c r="AA744" t="s">
        <v>2746</v>
      </c>
    </row>
    <row r="745" spans="1:27">
      <c r="A745" s="8" t="s">
        <v>3074</v>
      </c>
      <c r="B745" t="s">
        <v>217</v>
      </c>
      <c r="C745" t="s">
        <v>2748</v>
      </c>
      <c r="D745" s="5" t="s">
        <v>285</v>
      </c>
      <c r="K745">
        <v>3</v>
      </c>
      <c r="M745">
        <v>3</v>
      </c>
      <c r="P745">
        <v>17</v>
      </c>
      <c r="Q745">
        <v>1</v>
      </c>
      <c r="V745">
        <v>8</v>
      </c>
      <c r="W745" s="2" t="s">
        <v>2749</v>
      </c>
      <c r="Y745" s="6">
        <v>-0.2</v>
      </c>
      <c r="AA745" t="s">
        <v>2750</v>
      </c>
    </row>
    <row r="746" spans="1:27">
      <c r="A746" s="8" t="s">
        <v>3075</v>
      </c>
      <c r="B746" t="s">
        <v>483</v>
      </c>
      <c r="C746" t="s">
        <v>2751</v>
      </c>
      <c r="D746" s="5" t="s">
        <v>281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3076</v>
      </c>
      <c r="B747" t="s">
        <v>490</v>
      </c>
      <c r="C747" t="s">
        <v>2752</v>
      </c>
      <c r="D747" s="5" t="s">
        <v>289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W747" s="2" t="s">
        <v>2753</v>
      </c>
      <c r="Y747" s="6">
        <v>0.09</v>
      </c>
      <c r="AA747" t="s">
        <v>2755</v>
      </c>
    </row>
    <row r="748" spans="1:27">
      <c r="A748" s="8" t="s">
        <v>3077</v>
      </c>
      <c r="B748" t="s">
        <v>2067</v>
      </c>
      <c r="C748" t="s">
        <v>2756</v>
      </c>
      <c r="D748" s="5" t="s">
        <v>1556</v>
      </c>
      <c r="F748">
        <v>23</v>
      </c>
      <c r="K748">
        <v>1</v>
      </c>
      <c r="Q748">
        <v>1</v>
      </c>
      <c r="S748">
        <v>26</v>
      </c>
      <c r="V748">
        <v>10</v>
      </c>
      <c r="W748" s="2" t="s">
        <v>2757</v>
      </c>
      <c r="AA748" t="s">
        <v>2758</v>
      </c>
    </row>
    <row r="749" spans="1:27">
      <c r="A749" s="8" t="s">
        <v>3078</v>
      </c>
      <c r="B749" t="s">
        <v>1680</v>
      </c>
      <c r="C749" t="s">
        <v>2761</v>
      </c>
      <c r="D749" s="5" t="s">
        <v>1555</v>
      </c>
      <c r="F749">
        <v>3</v>
      </c>
      <c r="J749">
        <v>5</v>
      </c>
      <c r="K749">
        <v>6</v>
      </c>
      <c r="Q749">
        <v>1</v>
      </c>
      <c r="W749" s="2" t="s">
        <v>2759</v>
      </c>
      <c r="AA749" t="s">
        <v>2760</v>
      </c>
    </row>
    <row r="750" spans="1:27">
      <c r="A750" s="8" t="s">
        <v>3079</v>
      </c>
      <c r="B750" t="s">
        <v>294</v>
      </c>
      <c r="C750" t="s">
        <v>2762</v>
      </c>
      <c r="D750" s="5" t="s">
        <v>291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3080</v>
      </c>
      <c r="B751" t="s">
        <v>483</v>
      </c>
      <c r="C751" t="s">
        <v>2765</v>
      </c>
      <c r="D751" s="5" t="s">
        <v>281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2763</v>
      </c>
      <c r="B752" t="s">
        <v>293</v>
      </c>
      <c r="C752" t="s">
        <v>2766</v>
      </c>
      <c r="D752" s="5" t="s">
        <v>2330</v>
      </c>
      <c r="O752">
        <v>23</v>
      </c>
      <c r="Q752">
        <v>1</v>
      </c>
      <c r="V752">
        <v>14</v>
      </c>
    </row>
    <row r="753" spans="1:27">
      <c r="A753" s="8" t="s">
        <v>2764</v>
      </c>
      <c r="B753" t="s">
        <v>217</v>
      </c>
      <c r="C753" t="s">
        <v>2767</v>
      </c>
      <c r="D753" s="5" t="s">
        <v>285</v>
      </c>
      <c r="M753">
        <v>1</v>
      </c>
      <c r="O753">
        <v>1</v>
      </c>
      <c r="P753">
        <v>18</v>
      </c>
      <c r="Q753">
        <v>1</v>
      </c>
      <c r="V753">
        <v>11</v>
      </c>
    </row>
    <row r="754" spans="1:27">
      <c r="A754" s="8" t="s">
        <v>3081</v>
      </c>
      <c r="B754" t="s">
        <v>483</v>
      </c>
      <c r="C754" t="s">
        <v>2806</v>
      </c>
      <c r="D754" s="5" t="s">
        <v>281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W754" s="2" t="s">
        <v>2807</v>
      </c>
      <c r="Y754" s="6">
        <v>0.05</v>
      </c>
      <c r="AA754" t="s">
        <v>2808</v>
      </c>
    </row>
    <row r="755" spans="1:27">
      <c r="A755" s="8" t="s">
        <v>2809</v>
      </c>
      <c r="B755" t="s">
        <v>483</v>
      </c>
      <c r="C755" t="s">
        <v>2811</v>
      </c>
      <c r="D755" s="5" t="s">
        <v>281</v>
      </c>
      <c r="F755">
        <v>10</v>
      </c>
      <c r="L755">
        <v>2</v>
      </c>
      <c r="M755">
        <v>3</v>
      </c>
      <c r="Q755">
        <v>1</v>
      </c>
      <c r="W755" s="2" t="s">
        <v>2812</v>
      </c>
      <c r="AA755" t="s">
        <v>2949</v>
      </c>
    </row>
    <row r="756" spans="1:27">
      <c r="A756" s="8" t="s">
        <v>2810</v>
      </c>
      <c r="B756" t="s">
        <v>483</v>
      </c>
      <c r="C756" t="s">
        <v>2815</v>
      </c>
      <c r="D756" s="5" t="s">
        <v>281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W756" s="2" t="s">
        <v>2813</v>
      </c>
      <c r="AA756" t="s">
        <v>2814</v>
      </c>
    </row>
    <row r="757" spans="1:27">
      <c r="A757" s="8" t="s">
        <v>3082</v>
      </c>
      <c r="B757" t="s">
        <v>2067</v>
      </c>
      <c r="C757" t="s">
        <v>2818</v>
      </c>
      <c r="D757" s="5" t="s">
        <v>1556</v>
      </c>
      <c r="F757">
        <v>22</v>
      </c>
      <c r="Q757">
        <v>1</v>
      </c>
      <c r="S757">
        <v>23</v>
      </c>
      <c r="V757">
        <v>8</v>
      </c>
    </row>
    <row r="758" spans="1:27">
      <c r="A758" s="8" t="s">
        <v>3083</v>
      </c>
      <c r="B758" t="s">
        <v>1680</v>
      </c>
      <c r="C758" t="s">
        <v>2819</v>
      </c>
      <c r="D758" s="5" t="s">
        <v>1555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2862</v>
      </c>
      <c r="B759" t="s">
        <v>295</v>
      </c>
      <c r="C759" t="s">
        <v>2863</v>
      </c>
      <c r="D759" s="5" t="s">
        <v>2391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2864</v>
      </c>
      <c r="B760" t="s">
        <v>1666</v>
      </c>
      <c r="C760" t="s">
        <v>2865</v>
      </c>
      <c r="D760" s="5" t="s">
        <v>281</v>
      </c>
      <c r="E760" t="s">
        <v>282</v>
      </c>
      <c r="F760">
        <v>8</v>
      </c>
      <c r="G760" t="s">
        <v>282</v>
      </c>
      <c r="H760">
        <v>3</v>
      </c>
      <c r="I760" t="s">
        <v>282</v>
      </c>
      <c r="J760" t="s">
        <v>282</v>
      </c>
      <c r="K760">
        <v>3</v>
      </c>
      <c r="L760">
        <v>3</v>
      </c>
      <c r="M760" t="s">
        <v>282</v>
      </c>
      <c r="N760" t="s">
        <v>282</v>
      </c>
      <c r="O760" t="s">
        <v>282</v>
      </c>
      <c r="P760" t="s">
        <v>282</v>
      </c>
      <c r="Q760">
        <v>1</v>
      </c>
      <c r="R760" t="s">
        <v>282</v>
      </c>
      <c r="S760" t="s">
        <v>282</v>
      </c>
      <c r="T760" t="s">
        <v>282</v>
      </c>
      <c r="U760" t="s">
        <v>282</v>
      </c>
      <c r="V760" t="s">
        <v>282</v>
      </c>
      <c r="W760" s="2" t="s">
        <v>282</v>
      </c>
      <c r="X760" t="s">
        <v>282</v>
      </c>
      <c r="Z760" t="s">
        <v>282</v>
      </c>
      <c r="AA760" t="s">
        <v>282</v>
      </c>
    </row>
    <row r="761" spans="1:27">
      <c r="A761" s="8" t="s">
        <v>2866</v>
      </c>
      <c r="B761" t="s">
        <v>217</v>
      </c>
      <c r="C761" t="s">
        <v>2867</v>
      </c>
      <c r="D761" s="5" t="s">
        <v>285</v>
      </c>
      <c r="E761" t="s">
        <v>282</v>
      </c>
      <c r="F761" t="s">
        <v>282</v>
      </c>
      <c r="G761" t="s">
        <v>282</v>
      </c>
      <c r="H761" t="s">
        <v>282</v>
      </c>
      <c r="I761" t="s">
        <v>282</v>
      </c>
      <c r="J761">
        <v>2</v>
      </c>
      <c r="K761">
        <v>2</v>
      </c>
      <c r="M761" t="s">
        <v>282</v>
      </c>
      <c r="N761">
        <v>2</v>
      </c>
      <c r="P761">
        <v>15</v>
      </c>
      <c r="Q761">
        <v>1</v>
      </c>
      <c r="R761" t="s">
        <v>282</v>
      </c>
      <c r="S761" t="s">
        <v>282</v>
      </c>
      <c r="T761" t="s">
        <v>282</v>
      </c>
      <c r="U761" t="s">
        <v>282</v>
      </c>
      <c r="V761">
        <v>9</v>
      </c>
      <c r="X761">
        <v>15</v>
      </c>
      <c r="Z761" t="s">
        <v>2868</v>
      </c>
      <c r="AA761" t="s">
        <v>2869</v>
      </c>
    </row>
    <row r="762" spans="1:27">
      <c r="A762" s="8" t="s">
        <v>2870</v>
      </c>
      <c r="B762" t="s">
        <v>1666</v>
      </c>
      <c r="C762" t="s">
        <v>2871</v>
      </c>
      <c r="D762" s="5" t="s">
        <v>281</v>
      </c>
      <c r="E762" t="s">
        <v>282</v>
      </c>
      <c r="F762">
        <v>29</v>
      </c>
      <c r="G762" t="s">
        <v>282</v>
      </c>
      <c r="I762" t="s">
        <v>282</v>
      </c>
      <c r="J762" t="s">
        <v>282</v>
      </c>
      <c r="L762">
        <v>3</v>
      </c>
      <c r="M762">
        <v>3</v>
      </c>
      <c r="N762" t="s">
        <v>282</v>
      </c>
      <c r="O762" t="s">
        <v>282</v>
      </c>
      <c r="P762" t="s">
        <v>282</v>
      </c>
      <c r="Q762">
        <v>1</v>
      </c>
      <c r="R762" t="s">
        <v>282</v>
      </c>
      <c r="S762" t="s">
        <v>282</v>
      </c>
      <c r="T762" t="s">
        <v>282</v>
      </c>
      <c r="U762" t="s">
        <v>282</v>
      </c>
      <c r="V762" t="s">
        <v>282</v>
      </c>
      <c r="W762" s="2" t="s">
        <v>282</v>
      </c>
      <c r="X762" t="s">
        <v>282</v>
      </c>
      <c r="Z762" t="s">
        <v>282</v>
      </c>
      <c r="AA762" t="s">
        <v>282</v>
      </c>
    </row>
    <row r="763" spans="1:27">
      <c r="A763" s="8" t="s">
        <v>2872</v>
      </c>
      <c r="B763" t="s">
        <v>1679</v>
      </c>
      <c r="C763" t="s">
        <v>2873</v>
      </c>
      <c r="D763" s="5" t="s">
        <v>487</v>
      </c>
      <c r="E763" t="s">
        <v>282</v>
      </c>
      <c r="F763" t="s">
        <v>282</v>
      </c>
      <c r="G763" t="s">
        <v>282</v>
      </c>
      <c r="H763" t="s">
        <v>282</v>
      </c>
      <c r="I763">
        <v>15</v>
      </c>
      <c r="J763">
        <v>5</v>
      </c>
      <c r="M763">
        <v>3</v>
      </c>
      <c r="N763" t="s">
        <v>282</v>
      </c>
      <c r="O763" t="s">
        <v>282</v>
      </c>
      <c r="P763" t="s">
        <v>282</v>
      </c>
      <c r="Q763">
        <v>1</v>
      </c>
      <c r="R763" t="s">
        <v>282</v>
      </c>
      <c r="S763" t="s">
        <v>282</v>
      </c>
      <c r="T763" t="s">
        <v>282</v>
      </c>
      <c r="U763" t="s">
        <v>282</v>
      </c>
      <c r="V763" t="s">
        <v>282</v>
      </c>
      <c r="W763" s="2" t="s">
        <v>2874</v>
      </c>
      <c r="X763" t="s">
        <v>282</v>
      </c>
      <c r="Y763" s="6">
        <v>0.15</v>
      </c>
      <c r="Z763" t="s">
        <v>282</v>
      </c>
      <c r="AA763" t="s">
        <v>2940</v>
      </c>
    </row>
    <row r="764" spans="1:27">
      <c r="A764" s="8" t="s">
        <v>2875</v>
      </c>
      <c r="B764" t="s">
        <v>303</v>
      </c>
      <c r="C764" t="s">
        <v>2876</v>
      </c>
      <c r="D764" s="5" t="s">
        <v>284</v>
      </c>
      <c r="G764">
        <v>11</v>
      </c>
      <c r="I764">
        <v>13</v>
      </c>
      <c r="J764">
        <v>4</v>
      </c>
      <c r="Q764">
        <v>1</v>
      </c>
      <c r="V764">
        <v>5</v>
      </c>
      <c r="W764" s="2" t="s">
        <v>2877</v>
      </c>
      <c r="Y764" s="6" t="s">
        <v>2878</v>
      </c>
      <c r="AA764" t="s">
        <v>2939</v>
      </c>
    </row>
    <row r="765" spans="1:27">
      <c r="A765" s="8" t="s">
        <v>3084</v>
      </c>
      <c r="B765" t="s">
        <v>1666</v>
      </c>
      <c r="C765" t="s">
        <v>3067</v>
      </c>
      <c r="D765" t="s">
        <v>281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W765"/>
      <c r="Y765"/>
      <c r="AA765" t="s">
        <v>3068</v>
      </c>
    </row>
    <row r="766" spans="1:27">
      <c r="A766" s="8" t="s">
        <v>3085</v>
      </c>
      <c r="B766" s="7" t="s">
        <v>485</v>
      </c>
      <c r="C766" t="s">
        <v>2929</v>
      </c>
      <c r="D766" s="5" t="s">
        <v>2930</v>
      </c>
      <c r="G766">
        <v>15</v>
      </c>
      <c r="K766">
        <v>9</v>
      </c>
      <c r="M766">
        <v>4</v>
      </c>
      <c r="Q766">
        <v>1</v>
      </c>
      <c r="W766" s="2" t="s">
        <v>2931</v>
      </c>
      <c r="AA766" t="s">
        <v>2932</v>
      </c>
    </row>
    <row r="767" spans="1:27">
      <c r="A767" s="8" t="s">
        <v>2933</v>
      </c>
      <c r="B767" s="7" t="s">
        <v>485</v>
      </c>
      <c r="C767" t="s">
        <v>2934</v>
      </c>
      <c r="D767" s="5" t="s">
        <v>2930</v>
      </c>
      <c r="G767">
        <v>16</v>
      </c>
      <c r="K767">
        <v>5</v>
      </c>
      <c r="M767">
        <v>7</v>
      </c>
      <c r="Q767">
        <v>1</v>
      </c>
      <c r="W767" s="2" t="s">
        <v>2935</v>
      </c>
      <c r="Y767" s="6" t="s">
        <v>2936</v>
      </c>
      <c r="AA767" t="s">
        <v>2937</v>
      </c>
    </row>
    <row r="768" spans="1:27">
      <c r="A768" s="8" t="s">
        <v>3086</v>
      </c>
      <c r="B768" t="s">
        <v>293</v>
      </c>
      <c r="C768" t="s">
        <v>2938</v>
      </c>
      <c r="D768" s="5" t="s">
        <v>2330</v>
      </c>
      <c r="I768">
        <v>6</v>
      </c>
      <c r="J768">
        <v>5</v>
      </c>
      <c r="O768">
        <v>14</v>
      </c>
      <c r="Q768">
        <v>1</v>
      </c>
      <c r="V768">
        <v>9</v>
      </c>
      <c r="W768" s="2" t="s">
        <v>2877</v>
      </c>
      <c r="Y768" s="6" t="s">
        <v>2942</v>
      </c>
      <c r="AA768" t="s">
        <v>2941</v>
      </c>
    </row>
    <row r="769" spans="1:27">
      <c r="A769" s="8" t="s">
        <v>2943</v>
      </c>
      <c r="B769" t="s">
        <v>303</v>
      </c>
      <c r="C769" t="s">
        <v>2945</v>
      </c>
      <c r="D769" s="5" t="s">
        <v>284</v>
      </c>
      <c r="G769">
        <v>15</v>
      </c>
      <c r="I769">
        <v>5</v>
      </c>
      <c r="K769">
        <v>2</v>
      </c>
      <c r="Q769">
        <v>1</v>
      </c>
      <c r="V769">
        <v>6</v>
      </c>
      <c r="W769" s="2" t="s">
        <v>2947</v>
      </c>
      <c r="AA769" t="s">
        <v>2951</v>
      </c>
    </row>
    <row r="770" spans="1:27">
      <c r="A770" s="8" t="s">
        <v>2944</v>
      </c>
      <c r="B770" t="s">
        <v>2067</v>
      </c>
      <c r="C770" t="s">
        <v>2946</v>
      </c>
      <c r="D770" s="5" t="s">
        <v>1556</v>
      </c>
      <c r="F770">
        <v>29</v>
      </c>
      <c r="K770">
        <v>1</v>
      </c>
      <c r="Q770">
        <v>1</v>
      </c>
      <c r="S770">
        <v>25</v>
      </c>
      <c r="V770">
        <v>15</v>
      </c>
      <c r="W770" s="2" t="s">
        <v>2948</v>
      </c>
      <c r="AA770" t="s">
        <v>2950</v>
      </c>
    </row>
    <row r="771" spans="1:27">
      <c r="A771" s="8" t="s">
        <v>3087</v>
      </c>
      <c r="B771" t="s">
        <v>490</v>
      </c>
      <c r="C771" t="s">
        <v>3069</v>
      </c>
      <c r="D771" t="s">
        <v>289</v>
      </c>
      <c r="J771">
        <v>5</v>
      </c>
      <c r="K771">
        <v>2</v>
      </c>
      <c r="L771">
        <v>3</v>
      </c>
      <c r="Q771">
        <v>1</v>
      </c>
      <c r="W771"/>
      <c r="Y771"/>
    </row>
  </sheetData>
  <autoFilter ref="A1:AA711" xr:uid="{00000000-0009-0000-0000-000002000000}">
    <sortState xmlns:xlrd2="http://schemas.microsoft.com/office/spreadsheetml/2017/richdata2" ref="A2:AA734">
      <sortCondition ref="A1:A711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2852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1663</v>
      </c>
      <c r="U49" t="s">
        <v>264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1663</v>
      </c>
      <c r="U50" t="s">
        <v>264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1663</v>
      </c>
      <c r="U51" t="s">
        <v>264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31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2640</v>
      </c>
      <c r="B106" s="7" t="s">
        <v>210</v>
      </c>
      <c r="C106" s="7" t="s">
        <v>2641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2856</v>
      </c>
    </row>
    <row r="107" spans="1:30" s="7" customFormat="1">
      <c r="A107" s="8" t="s">
        <v>2848</v>
      </c>
      <c r="B107" s="7" t="s">
        <v>2849</v>
      </c>
      <c r="C107" s="7" t="s">
        <v>2850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2851</v>
      </c>
    </row>
    <row r="108" spans="1:30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3090</v>
      </c>
      <c r="B119" t="s">
        <v>1673</v>
      </c>
      <c r="C119" t="s">
        <v>3089</v>
      </c>
      <c r="D119" t="s">
        <v>91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242</v>
      </c>
      <c r="S119" t="s">
        <v>242</v>
      </c>
      <c r="T119" t="s">
        <v>242</v>
      </c>
      <c r="U119" t="s">
        <v>2312</v>
      </c>
      <c r="V119">
        <f t="shared" si="3"/>
        <v>60</v>
      </c>
      <c r="W119">
        <v>15</v>
      </c>
      <c r="X119">
        <v>15</v>
      </c>
      <c r="Y119">
        <v>15</v>
      </c>
      <c r="Z119">
        <v>15</v>
      </c>
      <c r="AD119" t="s">
        <v>3096</v>
      </c>
    </row>
    <row r="120" spans="1:30">
      <c r="A120" s="2" t="s">
        <v>3088</v>
      </c>
      <c r="B120" t="s">
        <v>206</v>
      </c>
      <c r="C120" t="s">
        <v>3091</v>
      </c>
      <c r="D120" t="s">
        <v>91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3"/>
        <v>0</v>
      </c>
      <c r="W120">
        <v>0</v>
      </c>
      <c r="X120">
        <v>0</v>
      </c>
      <c r="Y120">
        <v>0</v>
      </c>
      <c r="Z120">
        <v>0</v>
      </c>
      <c r="AD120" t="s">
        <v>3094</v>
      </c>
    </row>
    <row r="121" spans="1:30">
      <c r="A121" s="2" t="s">
        <v>3092</v>
      </c>
      <c r="B121" t="s">
        <v>2245</v>
      </c>
      <c r="C121" t="s">
        <v>3093</v>
      </c>
      <c r="D121" t="s">
        <v>91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3"/>
        <v>0</v>
      </c>
      <c r="W121">
        <v>0</v>
      </c>
      <c r="X121">
        <v>0</v>
      </c>
      <c r="Y121">
        <v>0</v>
      </c>
      <c r="Z121">
        <v>0</v>
      </c>
      <c r="AD121" t="s">
        <v>3095</v>
      </c>
    </row>
    <row r="122" spans="1:30">
      <c r="A122" s="8" t="s">
        <v>1674</v>
      </c>
      <c r="B122" t="s">
        <v>206</v>
      </c>
      <c r="C122" t="s">
        <v>1669</v>
      </c>
      <c r="D122" t="s">
        <v>91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525</v>
      </c>
      <c r="S122" t="s">
        <v>503</v>
      </c>
      <c r="T122" t="s">
        <v>227</v>
      </c>
      <c r="U122" t="s">
        <v>1827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1675</v>
      </c>
      <c r="B123" t="s">
        <v>1673</v>
      </c>
      <c r="C123" t="s">
        <v>1672</v>
      </c>
      <c r="D123" t="s">
        <v>91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227</v>
      </c>
      <c r="S123" t="s">
        <v>227</v>
      </c>
      <c r="T123" t="s">
        <v>1663</v>
      </c>
      <c r="U123" t="s">
        <v>639</v>
      </c>
      <c r="V123">
        <f t="shared" si="3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1676</v>
      </c>
      <c r="B124" t="s">
        <v>205</v>
      </c>
      <c r="C124" t="s">
        <v>1670</v>
      </c>
      <c r="D124" t="s">
        <v>91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223</v>
      </c>
      <c r="S124" t="s">
        <v>224</v>
      </c>
      <c r="V124">
        <f t="shared" si="3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1677</v>
      </c>
      <c r="B125" t="s">
        <v>209</v>
      </c>
      <c r="C125" t="s">
        <v>1671</v>
      </c>
      <c r="D125" t="s">
        <v>91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227</v>
      </c>
      <c r="S125" t="s">
        <v>227</v>
      </c>
      <c r="V125">
        <f t="shared" si="3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2002</v>
      </c>
      <c r="B126" t="s">
        <v>206</v>
      </c>
      <c r="C126" t="s">
        <v>2008</v>
      </c>
      <c r="D126" t="s">
        <v>91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2490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>
      <c r="A127" s="19" t="s">
        <v>2003</v>
      </c>
      <c r="B127" t="s">
        <v>206</v>
      </c>
      <c r="C127" t="s">
        <v>1579</v>
      </c>
      <c r="D127" t="s">
        <v>91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525</v>
      </c>
      <c r="S127" t="s">
        <v>503</v>
      </c>
      <c r="T127" t="s">
        <v>227</v>
      </c>
      <c r="U127" t="s">
        <v>594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>
      <c r="A128" s="19" t="s">
        <v>2004</v>
      </c>
      <c r="B128" t="s">
        <v>1673</v>
      </c>
      <c r="C128" t="s">
        <v>2012</v>
      </c>
      <c r="D128" t="s">
        <v>91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240</v>
      </c>
      <c r="S128" t="s">
        <v>218</v>
      </c>
      <c r="T128" t="s">
        <v>218</v>
      </c>
      <c r="U128" t="s">
        <v>218</v>
      </c>
      <c r="V128">
        <f t="shared" si="3"/>
        <v>120</v>
      </c>
      <c r="W128">
        <v>30</v>
      </c>
      <c r="X128">
        <v>30</v>
      </c>
      <c r="Y128">
        <v>30</v>
      </c>
      <c r="Z128">
        <v>30</v>
      </c>
      <c r="AD128" t="s">
        <v>2289</v>
      </c>
    </row>
    <row r="129" spans="1:30">
      <c r="A129" s="19" t="s">
        <v>2005</v>
      </c>
      <c r="B129" t="s">
        <v>206</v>
      </c>
      <c r="C129" t="s">
        <v>2009</v>
      </c>
      <c r="D129" t="s">
        <v>91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525</v>
      </c>
      <c r="S129" t="s">
        <v>503</v>
      </c>
      <c r="T129" t="s">
        <v>227</v>
      </c>
      <c r="U129" t="s">
        <v>594</v>
      </c>
      <c r="V129">
        <f t="shared" si="3"/>
        <v>0</v>
      </c>
      <c r="W129">
        <v>0</v>
      </c>
      <c r="X129">
        <v>0</v>
      </c>
      <c r="Y129">
        <v>0</v>
      </c>
      <c r="Z129">
        <v>0</v>
      </c>
      <c r="AD129" t="s">
        <v>2289</v>
      </c>
    </row>
    <row r="130" spans="1:30">
      <c r="A130" s="19" t="s">
        <v>2006</v>
      </c>
      <c r="B130" t="s">
        <v>209</v>
      </c>
      <c r="C130" t="s">
        <v>2010</v>
      </c>
      <c r="D130" t="s">
        <v>91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715</v>
      </c>
      <c r="S130" t="s">
        <v>715</v>
      </c>
      <c r="T130" t="s">
        <v>591</v>
      </c>
      <c r="U130" t="s">
        <v>589</v>
      </c>
      <c r="V130">
        <f t="shared" si="3"/>
        <v>0</v>
      </c>
      <c r="W130">
        <v>0</v>
      </c>
      <c r="X130">
        <v>0</v>
      </c>
      <c r="Y130">
        <v>0</v>
      </c>
      <c r="Z130">
        <v>0</v>
      </c>
      <c r="AD130" t="s">
        <v>2289</v>
      </c>
    </row>
    <row r="131" spans="1:30">
      <c r="A131" s="19" t="s">
        <v>2007</v>
      </c>
      <c r="B131" t="s">
        <v>209</v>
      </c>
      <c r="C131" t="s">
        <v>2011</v>
      </c>
      <c r="D131" t="s">
        <v>91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715</v>
      </c>
      <c r="S131" t="s">
        <v>715</v>
      </c>
      <c r="T131" t="s">
        <v>591</v>
      </c>
      <c r="U131" t="s">
        <v>589</v>
      </c>
      <c r="V131">
        <f t="shared" si="3"/>
        <v>0</v>
      </c>
      <c r="W131">
        <v>0</v>
      </c>
      <c r="X131">
        <v>0</v>
      </c>
      <c r="Y131">
        <v>0</v>
      </c>
      <c r="Z131">
        <v>0</v>
      </c>
      <c r="AD131" t="s">
        <v>2289</v>
      </c>
    </row>
    <row r="132" spans="1:30">
      <c r="A132" s="8" t="s">
        <v>2073</v>
      </c>
      <c r="B132" t="s">
        <v>209</v>
      </c>
      <c r="C132" t="s">
        <v>2011</v>
      </c>
      <c r="D132" t="s">
        <v>91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715</v>
      </c>
      <c r="S132" t="s">
        <v>715</v>
      </c>
      <c r="T132" t="s">
        <v>591</v>
      </c>
      <c r="U132" t="s">
        <v>589</v>
      </c>
      <c r="V132">
        <f t="shared" ref="V132:V147" si="4">SUM($W132:$Z132)</f>
        <v>16</v>
      </c>
      <c r="W132">
        <v>4</v>
      </c>
      <c r="X132">
        <v>4</v>
      </c>
      <c r="Y132">
        <v>4</v>
      </c>
      <c r="Z132">
        <v>4</v>
      </c>
      <c r="AD132" t="s">
        <v>2287</v>
      </c>
    </row>
    <row r="133" spans="1:30">
      <c r="A133" s="8" t="s">
        <v>2074</v>
      </c>
      <c r="B133" t="s">
        <v>209</v>
      </c>
      <c r="C133" t="s">
        <v>2075</v>
      </c>
      <c r="D133" t="s">
        <v>91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227</v>
      </c>
      <c r="S133" t="s">
        <v>227</v>
      </c>
      <c r="T133" t="s">
        <v>244</v>
      </c>
      <c r="U133" t="s">
        <v>247</v>
      </c>
      <c r="V133">
        <f t="shared" si="4"/>
        <v>12</v>
      </c>
      <c r="W133">
        <v>3</v>
      </c>
      <c r="X133">
        <v>3</v>
      </c>
      <c r="Y133">
        <v>3</v>
      </c>
      <c r="Z133">
        <v>3</v>
      </c>
      <c r="AD133" t="s">
        <v>2287</v>
      </c>
    </row>
    <row r="134" spans="1:30">
      <c r="A134" s="8" t="s">
        <v>2076</v>
      </c>
      <c r="B134" t="s">
        <v>209</v>
      </c>
      <c r="C134" t="s">
        <v>2077</v>
      </c>
      <c r="D134" t="s">
        <v>91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227</v>
      </c>
      <c r="S134" t="s">
        <v>227</v>
      </c>
      <c r="T134" t="s">
        <v>244</v>
      </c>
      <c r="U134" t="s">
        <v>247</v>
      </c>
      <c r="V134">
        <f t="shared" si="4"/>
        <v>12</v>
      </c>
      <c r="W134">
        <v>3</v>
      </c>
      <c r="X134">
        <v>3</v>
      </c>
      <c r="Y134">
        <v>3</v>
      </c>
      <c r="Z134">
        <v>3</v>
      </c>
      <c r="AD134" t="s">
        <v>2287</v>
      </c>
    </row>
    <row r="135" spans="1:30">
      <c r="A135" s="8" t="s">
        <v>2078</v>
      </c>
      <c r="B135" t="s">
        <v>203</v>
      </c>
      <c r="C135" t="s">
        <v>2079</v>
      </c>
      <c r="D135" t="s">
        <v>91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224</v>
      </c>
      <c r="S135" t="s">
        <v>233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2287</v>
      </c>
    </row>
    <row r="136" spans="1:30">
      <c r="A136" s="8" t="s">
        <v>2132</v>
      </c>
      <c r="B136" t="s">
        <v>75</v>
      </c>
      <c r="C136" t="s">
        <v>2139</v>
      </c>
      <c r="D136" t="s">
        <v>91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2140</v>
      </c>
      <c r="S136" t="s">
        <v>2140</v>
      </c>
      <c r="T136" t="s">
        <v>2140</v>
      </c>
      <c r="U136" t="s">
        <v>2141</v>
      </c>
      <c r="V136">
        <f t="shared" si="4"/>
        <v>120</v>
      </c>
      <c r="W136">
        <v>30</v>
      </c>
      <c r="X136">
        <v>30</v>
      </c>
      <c r="Y136">
        <v>30</v>
      </c>
      <c r="Z136">
        <v>30</v>
      </c>
      <c r="AD136" t="s">
        <v>2290</v>
      </c>
    </row>
    <row r="137" spans="1:30">
      <c r="A137" s="8" t="s">
        <v>2133</v>
      </c>
      <c r="B137" t="s">
        <v>2142</v>
      </c>
      <c r="C137" t="s">
        <v>2143</v>
      </c>
      <c r="D137" t="s">
        <v>91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1663</v>
      </c>
      <c r="S137" t="s">
        <v>1663</v>
      </c>
      <c r="T137" t="s">
        <v>2140</v>
      </c>
      <c r="U137" t="s">
        <v>2140</v>
      </c>
      <c r="V137">
        <f t="shared" si="4"/>
        <v>400</v>
      </c>
      <c r="W137">
        <v>100</v>
      </c>
      <c r="X137">
        <v>100</v>
      </c>
      <c r="Y137">
        <v>100</v>
      </c>
      <c r="Z137">
        <v>100</v>
      </c>
      <c r="AD137" t="s">
        <v>2290</v>
      </c>
    </row>
    <row r="138" spans="1:30">
      <c r="A138" s="8" t="s">
        <v>2134</v>
      </c>
      <c r="B138" t="s">
        <v>206</v>
      </c>
      <c r="C138" t="s">
        <v>2144</v>
      </c>
      <c r="D138" t="s">
        <v>91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522</v>
      </c>
      <c r="S138" t="s">
        <v>522</v>
      </c>
      <c r="T138" t="s">
        <v>575</v>
      </c>
      <c r="U138" t="s">
        <v>227</v>
      </c>
      <c r="V138">
        <f t="shared" si="4"/>
        <v>28</v>
      </c>
      <c r="W138">
        <v>7</v>
      </c>
      <c r="X138">
        <v>7</v>
      </c>
      <c r="Y138">
        <v>7</v>
      </c>
      <c r="Z138">
        <v>7</v>
      </c>
      <c r="AD138" t="s">
        <v>2290</v>
      </c>
    </row>
    <row r="139" spans="1:30">
      <c r="A139" s="8" t="s">
        <v>2135</v>
      </c>
      <c r="B139" t="s">
        <v>206</v>
      </c>
      <c r="C139" t="s">
        <v>2145</v>
      </c>
      <c r="D139" t="s">
        <v>91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522</v>
      </c>
      <c r="S139" t="s">
        <v>522</v>
      </c>
      <c r="T139" t="s">
        <v>601</v>
      </c>
      <c r="U139" t="s">
        <v>244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D139" t="s">
        <v>2290</v>
      </c>
    </row>
    <row r="140" spans="1:30">
      <c r="A140" s="8" t="s">
        <v>2136</v>
      </c>
      <c r="B140" t="s">
        <v>211</v>
      </c>
      <c r="C140" t="s">
        <v>2146</v>
      </c>
      <c r="D140" t="s">
        <v>91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305</v>
      </c>
      <c r="S140" t="s">
        <v>2147</v>
      </c>
      <c r="T140" t="s">
        <v>2147</v>
      </c>
      <c r="V140">
        <f t="shared" si="4"/>
        <v>24</v>
      </c>
      <c r="W140">
        <v>8</v>
      </c>
      <c r="X140">
        <v>8</v>
      </c>
      <c r="Y140">
        <v>8</v>
      </c>
      <c r="Z140">
        <v>0</v>
      </c>
      <c r="AD140" t="s">
        <v>2290</v>
      </c>
    </row>
    <row r="141" spans="1:30">
      <c r="A141" s="8" t="s">
        <v>2137</v>
      </c>
      <c r="B141" t="s">
        <v>206</v>
      </c>
      <c r="C141" t="s">
        <v>2148</v>
      </c>
      <c r="D141" t="s">
        <v>91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531</v>
      </c>
      <c r="S141" t="s">
        <v>531</v>
      </c>
      <c r="T141" t="s">
        <v>253</v>
      </c>
      <c r="U141" t="s">
        <v>573</v>
      </c>
      <c r="V141">
        <f t="shared" si="4"/>
        <v>8</v>
      </c>
      <c r="W141">
        <v>2</v>
      </c>
      <c r="X141">
        <v>2</v>
      </c>
      <c r="Y141">
        <v>2</v>
      </c>
      <c r="Z141">
        <v>2</v>
      </c>
      <c r="AD141" t="s">
        <v>2290</v>
      </c>
    </row>
    <row r="142" spans="1:30">
      <c r="A142" s="8" t="s">
        <v>2234</v>
      </c>
      <c r="B142" t="s">
        <v>206</v>
      </c>
      <c r="C142" t="s">
        <v>2009</v>
      </c>
      <c r="D142" t="s">
        <v>91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227</v>
      </c>
      <c r="S142" t="s">
        <v>227</v>
      </c>
      <c r="T142" t="s">
        <v>243</v>
      </c>
      <c r="U142" t="s">
        <v>249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2291</v>
      </c>
    </row>
    <row r="143" spans="1:30">
      <c r="A143" s="8" t="s">
        <v>2235</v>
      </c>
      <c r="B143" t="s">
        <v>75</v>
      </c>
      <c r="C143" t="s">
        <v>2236</v>
      </c>
      <c r="D143" t="s">
        <v>91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2237</v>
      </c>
      <c r="S143" t="s">
        <v>2237</v>
      </c>
      <c r="T143" t="s">
        <v>2237</v>
      </c>
      <c r="U143" t="s">
        <v>2238</v>
      </c>
      <c r="V143">
        <f t="shared" si="4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2291</v>
      </c>
    </row>
    <row r="144" spans="1:30">
      <c r="A144" s="8" t="s">
        <v>2239</v>
      </c>
      <c r="B144" t="s">
        <v>1673</v>
      </c>
      <c r="C144" t="s">
        <v>2012</v>
      </c>
      <c r="D144" t="s">
        <v>91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227</v>
      </c>
      <c r="S144" t="s">
        <v>227</v>
      </c>
      <c r="T144" t="s">
        <v>2140</v>
      </c>
      <c r="U144" t="s">
        <v>2237</v>
      </c>
      <c r="V144">
        <f t="shared" si="4"/>
        <v>200</v>
      </c>
      <c r="W144">
        <v>50</v>
      </c>
      <c r="X144">
        <v>50</v>
      </c>
      <c r="Y144">
        <v>50</v>
      </c>
      <c r="Z144">
        <v>50</v>
      </c>
      <c r="AD144" t="s">
        <v>2291</v>
      </c>
    </row>
    <row r="145" spans="1:30">
      <c r="A145" s="8" t="s">
        <v>2241</v>
      </c>
      <c r="B145" t="s">
        <v>206</v>
      </c>
      <c r="C145" t="s">
        <v>1579</v>
      </c>
      <c r="D145" t="s">
        <v>91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227</v>
      </c>
      <c r="S145" t="s">
        <v>227</v>
      </c>
      <c r="V145">
        <f t="shared" si="4"/>
        <v>0</v>
      </c>
      <c r="W145">
        <v>0</v>
      </c>
      <c r="X145">
        <v>0</v>
      </c>
      <c r="Y145">
        <v>0</v>
      </c>
      <c r="Z145">
        <v>0</v>
      </c>
      <c r="AA145" s="2" t="s">
        <v>2240</v>
      </c>
      <c r="AD145" t="s">
        <v>2291</v>
      </c>
    </row>
    <row r="146" spans="1:30">
      <c r="A146" s="8" t="s">
        <v>2242</v>
      </c>
      <c r="B146" t="s">
        <v>205</v>
      </c>
      <c r="C146" t="s">
        <v>1580</v>
      </c>
      <c r="D146" t="s">
        <v>91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224</v>
      </c>
      <c r="V146">
        <f t="shared" si="4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2291</v>
      </c>
    </row>
    <row r="147" spans="1:30">
      <c r="A147" s="8" t="s">
        <v>2243</v>
      </c>
      <c r="B147" t="s">
        <v>208</v>
      </c>
      <c r="C147" t="s">
        <v>2244</v>
      </c>
      <c r="D147" t="s">
        <v>91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4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2291</v>
      </c>
    </row>
    <row r="148" spans="1:30">
      <c r="A148" s="8" t="s">
        <v>2292</v>
      </c>
      <c r="B148" t="s">
        <v>206</v>
      </c>
      <c r="C148" s="2">
        <v>111</v>
      </c>
      <c r="D148" t="s">
        <v>91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2381</v>
      </c>
      <c r="S148" t="s">
        <v>2381</v>
      </c>
      <c r="T148" t="s">
        <v>601</v>
      </c>
      <c r="U148" t="s">
        <v>227</v>
      </c>
      <c r="V148">
        <f t="shared" ref="V148:V159" si="5">SUM($W148:$Z148)</f>
        <v>0</v>
      </c>
      <c r="W148">
        <v>0</v>
      </c>
      <c r="X148">
        <v>0</v>
      </c>
      <c r="Y148">
        <v>0</v>
      </c>
      <c r="Z148">
        <v>0</v>
      </c>
      <c r="AA148" s="2" t="s">
        <v>2308</v>
      </c>
      <c r="AD148" t="s">
        <v>2293</v>
      </c>
    </row>
    <row r="149" spans="1:30">
      <c r="A149" s="8" t="s">
        <v>2294</v>
      </c>
      <c r="B149" t="s">
        <v>206</v>
      </c>
      <c r="C149" t="s">
        <v>2295</v>
      </c>
      <c r="D149" t="s">
        <v>91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2381</v>
      </c>
      <c r="S149" t="s">
        <v>2381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>
      <c r="A150" s="8" t="s">
        <v>2296</v>
      </c>
      <c r="B150" t="s">
        <v>206</v>
      </c>
      <c r="C150" t="s">
        <v>2295</v>
      </c>
      <c r="D150" t="s">
        <v>91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2381</v>
      </c>
      <c r="S150" t="s">
        <v>2381</v>
      </c>
      <c r="T150" t="s">
        <v>601</v>
      </c>
      <c r="U150" t="s">
        <v>227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2293</v>
      </c>
    </row>
    <row r="151" spans="1:30">
      <c r="A151" s="8" t="s">
        <v>2297</v>
      </c>
      <c r="B151" t="s">
        <v>206</v>
      </c>
      <c r="C151" t="s">
        <v>2298</v>
      </c>
      <c r="D151" t="s">
        <v>91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2381</v>
      </c>
      <c r="S151" t="s">
        <v>2381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2293</v>
      </c>
    </row>
    <row r="152" spans="1:30">
      <c r="A152" s="8" t="s">
        <v>2299</v>
      </c>
      <c r="B152" t="s">
        <v>206</v>
      </c>
      <c r="C152" t="s">
        <v>2300</v>
      </c>
      <c r="D152" t="s">
        <v>91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2381</v>
      </c>
      <c r="S152" t="s">
        <v>2381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>
      <c r="A153" s="8" t="s">
        <v>2301</v>
      </c>
      <c r="B153" t="s">
        <v>21</v>
      </c>
      <c r="C153" t="s">
        <v>2302</v>
      </c>
      <c r="D153" t="s">
        <v>91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240</v>
      </c>
      <c r="S153" t="s">
        <v>563</v>
      </c>
      <c r="T153" t="s">
        <v>2303</v>
      </c>
      <c r="U153" t="s">
        <v>2303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2293</v>
      </c>
    </row>
    <row r="154" spans="1:30">
      <c r="A154" s="8" t="s">
        <v>2304</v>
      </c>
      <c r="B154" t="s">
        <v>21</v>
      </c>
      <c r="C154" t="s">
        <v>2302</v>
      </c>
      <c r="D154" t="s">
        <v>91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239</v>
      </c>
      <c r="S154" t="s">
        <v>242</v>
      </c>
      <c r="T154" t="s">
        <v>242</v>
      </c>
      <c r="U154" t="s">
        <v>242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2293</v>
      </c>
    </row>
    <row r="155" spans="1:30">
      <c r="A155" s="8" t="s">
        <v>2305</v>
      </c>
      <c r="B155" t="s">
        <v>206</v>
      </c>
      <c r="C155" t="s">
        <v>2306</v>
      </c>
      <c r="D155" t="s">
        <v>91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2381</v>
      </c>
      <c r="S155" t="s">
        <v>2381</v>
      </c>
      <c r="T155" t="s">
        <v>601</v>
      </c>
      <c r="U155" t="s">
        <v>227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2293</v>
      </c>
    </row>
    <row r="156" spans="1:30">
      <c r="A156" s="8" t="s">
        <v>2483</v>
      </c>
      <c r="B156" t="s">
        <v>206</v>
      </c>
      <c r="C156" t="s">
        <v>2491</v>
      </c>
      <c r="D156" t="s">
        <v>91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2485</v>
      </c>
    </row>
    <row r="157" spans="1:30">
      <c r="A157" s="8" t="s">
        <v>2484</v>
      </c>
      <c r="B157" t="s">
        <v>206</v>
      </c>
      <c r="C157" t="s">
        <v>1579</v>
      </c>
      <c r="D157" t="s">
        <v>91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2485</v>
      </c>
    </row>
    <row r="158" spans="1:30">
      <c r="A158" s="8" t="s">
        <v>2486</v>
      </c>
      <c r="B158" t="s">
        <v>1673</v>
      </c>
      <c r="C158" t="s">
        <v>2012</v>
      </c>
      <c r="D158" t="s">
        <v>91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2141</v>
      </c>
      <c r="U158" t="s">
        <v>2141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2485</v>
      </c>
    </row>
    <row r="159" spans="1:30">
      <c r="A159" s="8" t="s">
        <v>2487</v>
      </c>
      <c r="B159" t="s">
        <v>1673</v>
      </c>
      <c r="C159" t="s">
        <v>2012</v>
      </c>
      <c r="D159" t="s">
        <v>91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2141</v>
      </c>
      <c r="U159" t="s">
        <v>2141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2485</v>
      </c>
    </row>
    <row r="160" spans="1:30">
      <c r="A160" s="8" t="s">
        <v>2488</v>
      </c>
      <c r="B160" t="s">
        <v>206</v>
      </c>
      <c r="C160" t="s">
        <v>2492</v>
      </c>
      <c r="D160" t="s">
        <v>91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>SUM($W160:$Z160)</f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2485</v>
      </c>
    </row>
    <row r="161" spans="1:30">
      <c r="A161" s="8" t="s">
        <v>2493</v>
      </c>
      <c r="B161" t="s">
        <v>205</v>
      </c>
      <c r="C161" t="s">
        <v>1580</v>
      </c>
      <c r="D161" t="s">
        <v>91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226</v>
      </c>
      <c r="S161" s="30"/>
      <c r="T161" s="30"/>
      <c r="U161" s="30"/>
      <c r="V161">
        <f>SUM($W161:$Z161)</f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2485</v>
      </c>
    </row>
    <row r="162" spans="1:30">
      <c r="A162" s="8" t="s">
        <v>2542</v>
      </c>
      <c r="B162" t="s">
        <v>21</v>
      </c>
      <c r="C162" t="s">
        <v>2543</v>
      </c>
      <c r="D162" t="s">
        <v>91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2237</v>
      </c>
      <c r="S162" t="s">
        <v>2237</v>
      </c>
      <c r="T162" t="s">
        <v>2303</v>
      </c>
      <c r="U162" t="s">
        <v>2238</v>
      </c>
      <c r="V162">
        <f t="shared" ref="V162:V209" si="6">SUM($W162:$Z162)</f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2549</v>
      </c>
    </row>
    <row r="163" spans="1:30">
      <c r="A163" s="8" t="s">
        <v>2544</v>
      </c>
      <c r="B163" t="s">
        <v>1673</v>
      </c>
      <c r="C163" t="s">
        <v>2012</v>
      </c>
      <c r="D163" t="s">
        <v>91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2141</v>
      </c>
      <c r="S163" t="s">
        <v>2141</v>
      </c>
      <c r="T163" t="s">
        <v>2141</v>
      </c>
      <c r="U163" t="s">
        <v>239</v>
      </c>
      <c r="V163">
        <f t="shared" si="6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2549</v>
      </c>
    </row>
    <row r="164" spans="1:30">
      <c r="A164" s="8" t="s">
        <v>2545</v>
      </c>
      <c r="B164" t="s">
        <v>206</v>
      </c>
      <c r="C164" t="s">
        <v>1579</v>
      </c>
      <c r="D164" t="s">
        <v>91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2549</v>
      </c>
    </row>
    <row r="165" spans="1:30">
      <c r="A165" s="8" t="s">
        <v>2546</v>
      </c>
      <c r="B165" t="s">
        <v>75</v>
      </c>
      <c r="C165" t="s">
        <v>2236</v>
      </c>
      <c r="D165" t="s">
        <v>91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2237</v>
      </c>
      <c r="S165" t="s">
        <v>2237</v>
      </c>
      <c r="T165" t="s">
        <v>2237</v>
      </c>
      <c r="U165" t="s">
        <v>2238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2549</v>
      </c>
    </row>
    <row r="166" spans="1:30">
      <c r="A166" s="8" t="s">
        <v>2547</v>
      </c>
      <c r="B166" t="s">
        <v>206</v>
      </c>
      <c r="C166" s="2">
        <v>111</v>
      </c>
      <c r="D166" t="s">
        <v>91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2549</v>
      </c>
    </row>
    <row r="167" spans="1:30">
      <c r="A167" s="8" t="s">
        <v>2548</v>
      </c>
      <c r="B167" t="s">
        <v>211</v>
      </c>
      <c r="C167" t="s">
        <v>2550</v>
      </c>
      <c r="D167" t="s">
        <v>91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305</v>
      </c>
      <c r="S167" t="s">
        <v>2147</v>
      </c>
      <c r="T167" t="s">
        <v>2147</v>
      </c>
      <c r="U167" t="s">
        <v>2147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2549</v>
      </c>
    </row>
    <row r="168" spans="1:30">
      <c r="A168" s="8" t="s">
        <v>2552</v>
      </c>
      <c r="B168" t="s">
        <v>208</v>
      </c>
      <c r="C168" t="s">
        <v>2244</v>
      </c>
      <c r="D168" t="s">
        <v>91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2291</v>
      </c>
    </row>
    <row r="169" spans="1:30">
      <c r="A169" s="8" t="s">
        <v>2769</v>
      </c>
      <c r="B169" t="s">
        <v>206</v>
      </c>
      <c r="C169" t="s">
        <v>2491</v>
      </c>
      <c r="D169" t="s">
        <v>91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2796</v>
      </c>
    </row>
    <row r="170" spans="1:30">
      <c r="A170" s="8" t="s">
        <v>2770</v>
      </c>
      <c r="B170" t="s">
        <v>206</v>
      </c>
      <c r="C170" t="s">
        <v>1579</v>
      </c>
      <c r="D170" t="s">
        <v>91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2796</v>
      </c>
    </row>
    <row r="171" spans="1:30">
      <c r="A171" s="8" t="s">
        <v>2771</v>
      </c>
      <c r="B171" t="s">
        <v>1673</v>
      </c>
      <c r="C171" t="s">
        <v>2012</v>
      </c>
      <c r="D171" t="s">
        <v>91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2141</v>
      </c>
      <c r="U171" t="s">
        <v>2141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2795</v>
      </c>
    </row>
    <row r="172" spans="1:30">
      <c r="A172" s="8" t="s">
        <v>2772</v>
      </c>
      <c r="B172" t="s">
        <v>2774</v>
      </c>
      <c r="C172" t="s">
        <v>2775</v>
      </c>
      <c r="D172" t="s">
        <v>91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2141</v>
      </c>
      <c r="U172" t="s">
        <v>2141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2795</v>
      </c>
    </row>
    <row r="173" spans="1:30">
      <c r="A173" s="8" t="s">
        <v>2773</v>
      </c>
      <c r="B173" t="s">
        <v>206</v>
      </c>
      <c r="C173" t="s">
        <v>2492</v>
      </c>
      <c r="D173" t="s">
        <v>91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2795</v>
      </c>
    </row>
    <row r="174" spans="1:30">
      <c r="A174" s="8" t="s">
        <v>2776</v>
      </c>
      <c r="B174" t="s">
        <v>2142</v>
      </c>
      <c r="C174" t="s">
        <v>2782</v>
      </c>
      <c r="D174" t="s">
        <v>91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2794</v>
      </c>
      <c r="S174" t="s">
        <v>2794</v>
      </c>
      <c r="T174" t="s">
        <v>2794</v>
      </c>
      <c r="U174" t="s">
        <v>553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2793</v>
      </c>
    </row>
    <row r="175" spans="1:30">
      <c r="A175" s="8" t="s">
        <v>2777</v>
      </c>
      <c r="B175" t="s">
        <v>2784</v>
      </c>
      <c r="C175" t="s">
        <v>2783</v>
      </c>
      <c r="D175" t="s">
        <v>91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2794</v>
      </c>
      <c r="S175" t="s">
        <v>2794</v>
      </c>
      <c r="T175" t="s">
        <v>2794</v>
      </c>
      <c r="U175" t="s">
        <v>553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2793</v>
      </c>
    </row>
    <row r="176" spans="1:30">
      <c r="A176" s="8" t="s">
        <v>2778</v>
      </c>
      <c r="B176" t="s">
        <v>2785</v>
      </c>
      <c r="C176" t="s">
        <v>2786</v>
      </c>
      <c r="D176" t="s">
        <v>91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2792</v>
      </c>
    </row>
    <row r="177" spans="1:30">
      <c r="A177" s="8" t="s">
        <v>2779</v>
      </c>
      <c r="B177" t="s">
        <v>2788</v>
      </c>
      <c r="C177" t="s">
        <v>2787</v>
      </c>
      <c r="D177" t="s">
        <v>91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2792</v>
      </c>
    </row>
    <row r="178" spans="1:30">
      <c r="A178" s="8" t="s">
        <v>2780</v>
      </c>
      <c r="B178" t="s">
        <v>2788</v>
      </c>
      <c r="C178" t="s">
        <v>2789</v>
      </c>
      <c r="D178" t="s">
        <v>91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2792</v>
      </c>
    </row>
    <row r="179" spans="1:30">
      <c r="A179" s="8" t="s">
        <v>2781</v>
      </c>
      <c r="B179" t="s">
        <v>2790</v>
      </c>
      <c r="C179" t="s">
        <v>2791</v>
      </c>
      <c r="D179" t="s">
        <v>91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2792</v>
      </c>
    </row>
    <row r="180" spans="1:30">
      <c r="A180" s="8" t="s">
        <v>2820</v>
      </c>
      <c r="B180" t="s">
        <v>206</v>
      </c>
      <c r="C180" t="s">
        <v>2828</v>
      </c>
      <c r="D180" t="s">
        <v>91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2826</v>
      </c>
    </row>
    <row r="181" spans="1:30">
      <c r="A181" s="8" t="s">
        <v>2821</v>
      </c>
      <c r="B181" t="s">
        <v>206</v>
      </c>
      <c r="C181" t="s">
        <v>2295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2826</v>
      </c>
    </row>
    <row r="182" spans="1:30">
      <c r="A182" s="8" t="s">
        <v>2822</v>
      </c>
      <c r="B182" t="s">
        <v>206</v>
      </c>
      <c r="C182" t="s">
        <v>2298</v>
      </c>
      <c r="D182" t="s">
        <v>91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2826</v>
      </c>
    </row>
    <row r="183" spans="1:30">
      <c r="A183" s="8" t="s">
        <v>2823</v>
      </c>
      <c r="B183" t="s">
        <v>2142</v>
      </c>
      <c r="C183" t="s">
        <v>2829</v>
      </c>
      <c r="D183" t="s">
        <v>91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2551</v>
      </c>
      <c r="S183" t="s">
        <v>2551</v>
      </c>
      <c r="T183" t="s">
        <v>2551</v>
      </c>
      <c r="U183" t="s">
        <v>553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2826</v>
      </c>
    </row>
    <row r="184" spans="1:30">
      <c r="A184" s="8" t="s">
        <v>2824</v>
      </c>
      <c r="B184" t="s">
        <v>206</v>
      </c>
      <c r="C184" s="2">
        <v>111</v>
      </c>
      <c r="D184" t="s">
        <v>91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2827</v>
      </c>
    </row>
    <row r="185" spans="1:30">
      <c r="A185" s="8" t="s">
        <v>2825</v>
      </c>
      <c r="B185" t="s">
        <v>206</v>
      </c>
      <c r="C185" t="s">
        <v>2830</v>
      </c>
      <c r="D185" t="s">
        <v>91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2827</v>
      </c>
    </row>
    <row r="186" spans="1:30">
      <c r="A186" s="8" t="s">
        <v>2834</v>
      </c>
      <c r="B186" t="s">
        <v>206</v>
      </c>
      <c r="C186" t="s">
        <v>2840</v>
      </c>
      <c r="D186" t="s">
        <v>91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2847</v>
      </c>
    </row>
    <row r="187" spans="1:30">
      <c r="A187" s="8" t="s">
        <v>2835</v>
      </c>
      <c r="B187" t="s">
        <v>206</v>
      </c>
      <c r="C187" t="s">
        <v>2841</v>
      </c>
      <c r="D187" t="s">
        <v>91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2847</v>
      </c>
    </row>
    <row r="188" spans="1:30">
      <c r="A188" s="8" t="s">
        <v>2836</v>
      </c>
      <c r="B188" t="s">
        <v>206</v>
      </c>
      <c r="C188" t="s">
        <v>2842</v>
      </c>
      <c r="D188" t="s">
        <v>91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2846</v>
      </c>
    </row>
    <row r="189" spans="1:30">
      <c r="A189" s="8" t="s">
        <v>2837</v>
      </c>
      <c r="B189" t="s">
        <v>206</v>
      </c>
      <c r="C189" t="s">
        <v>2845</v>
      </c>
      <c r="D189" t="s">
        <v>91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2846</v>
      </c>
    </row>
    <row r="190" spans="1:30">
      <c r="A190" s="8" t="s">
        <v>2838</v>
      </c>
      <c r="B190" t="s">
        <v>2142</v>
      </c>
      <c r="C190" t="s">
        <v>2843</v>
      </c>
      <c r="D190" t="s">
        <v>91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2141</v>
      </c>
      <c r="U190" t="s">
        <v>2141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2846</v>
      </c>
    </row>
    <row r="191" spans="1:30">
      <c r="A191" s="8" t="s">
        <v>2839</v>
      </c>
      <c r="B191" t="s">
        <v>205</v>
      </c>
      <c r="C191" t="s">
        <v>2844</v>
      </c>
      <c r="D191" t="s">
        <v>91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2846</v>
      </c>
    </row>
    <row r="192" spans="1:30">
      <c r="A192" s="8" t="s">
        <v>2922</v>
      </c>
      <c r="B192" t="s">
        <v>2885</v>
      </c>
      <c r="C192" t="s">
        <v>2139</v>
      </c>
      <c r="D192" t="s">
        <v>2886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2893</v>
      </c>
      <c r="S192" t="s">
        <v>2894</v>
      </c>
      <c r="T192" t="s">
        <v>2894</v>
      </c>
      <c r="U192" t="s">
        <v>2894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2884</v>
      </c>
    </row>
    <row r="193" spans="1:30">
      <c r="A193" s="8" t="s">
        <v>2923</v>
      </c>
      <c r="B193" t="s">
        <v>2887</v>
      </c>
      <c r="C193" t="s">
        <v>2890</v>
      </c>
      <c r="D193" t="s">
        <v>2886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2893</v>
      </c>
      <c r="S193" t="s">
        <v>622</v>
      </c>
      <c r="T193" t="s">
        <v>622</v>
      </c>
      <c r="U193" t="s">
        <v>622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2884</v>
      </c>
    </row>
    <row r="194" spans="1:30">
      <c r="A194" s="8" t="s">
        <v>2924</v>
      </c>
      <c r="B194" t="s">
        <v>2887</v>
      </c>
      <c r="C194" t="s">
        <v>1589</v>
      </c>
      <c r="D194" t="s">
        <v>2886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2893</v>
      </c>
      <c r="S194" t="s">
        <v>622</v>
      </c>
      <c r="T194" t="s">
        <v>622</v>
      </c>
      <c r="U194" t="s">
        <v>622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2884</v>
      </c>
    </row>
    <row r="195" spans="1:30">
      <c r="A195" s="8" t="s">
        <v>2925</v>
      </c>
      <c r="B195" t="s">
        <v>2885</v>
      </c>
      <c r="C195" t="s">
        <v>2891</v>
      </c>
      <c r="D195" t="s">
        <v>2886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622</v>
      </c>
      <c r="S195" t="s">
        <v>622</v>
      </c>
      <c r="T195" t="s">
        <v>622</v>
      </c>
      <c r="U195" t="s">
        <v>622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2884</v>
      </c>
    </row>
    <row r="196" spans="1:30">
      <c r="A196" s="8" t="s">
        <v>2926</v>
      </c>
      <c r="B196" t="s">
        <v>2888</v>
      </c>
      <c r="C196" t="s">
        <v>2892</v>
      </c>
      <c r="D196" t="s">
        <v>2886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si="6"/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2884</v>
      </c>
    </row>
    <row r="197" spans="1:30">
      <c r="A197" s="8" t="s">
        <v>2927</v>
      </c>
      <c r="B197" t="s">
        <v>2889</v>
      </c>
      <c r="C197" s="2">
        <v>815</v>
      </c>
      <c r="D197" t="s">
        <v>2886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609</v>
      </c>
      <c r="S197" t="s">
        <v>2895</v>
      </c>
      <c r="T197" t="s">
        <v>579</v>
      </c>
      <c r="U197" t="s">
        <v>579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2884</v>
      </c>
    </row>
    <row r="198" spans="1:30">
      <c r="A198" s="8" t="s">
        <v>2928</v>
      </c>
      <c r="B198" t="s">
        <v>2903</v>
      </c>
      <c r="C198" s="2" t="s">
        <v>2902</v>
      </c>
      <c r="D198" t="s">
        <v>91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6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2907</v>
      </c>
    </row>
    <row r="199" spans="1:30">
      <c r="A199" s="8" t="s">
        <v>2879</v>
      </c>
      <c r="B199" t="s">
        <v>2904</v>
      </c>
      <c r="C199" s="2" t="s">
        <v>2908</v>
      </c>
      <c r="D199" t="s">
        <v>91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2913</v>
      </c>
      <c r="S199" t="s">
        <v>2914</v>
      </c>
      <c r="T199" t="s">
        <v>622</v>
      </c>
      <c r="U199" t="s">
        <v>622</v>
      </c>
      <c r="V199">
        <f t="shared" si="6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2907</v>
      </c>
    </row>
    <row r="200" spans="1:30">
      <c r="A200" s="8" t="s">
        <v>2880</v>
      </c>
      <c r="B200" t="s">
        <v>2904</v>
      </c>
      <c r="C200" s="2" t="s">
        <v>2909</v>
      </c>
      <c r="D200" t="s">
        <v>91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2893</v>
      </c>
      <c r="S200" t="s">
        <v>622</v>
      </c>
      <c r="T200" t="s">
        <v>622</v>
      </c>
      <c r="U200" t="s">
        <v>622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2907</v>
      </c>
    </row>
    <row r="201" spans="1:30">
      <c r="A201" s="8" t="s">
        <v>2881</v>
      </c>
      <c r="B201" t="s">
        <v>2903</v>
      </c>
      <c r="C201" s="2" t="s">
        <v>2910</v>
      </c>
      <c r="D201" t="s">
        <v>91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6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2907</v>
      </c>
    </row>
    <row r="202" spans="1:30">
      <c r="A202" s="8" t="s">
        <v>2882</v>
      </c>
      <c r="B202" t="s">
        <v>2905</v>
      </c>
      <c r="C202" s="2" t="s">
        <v>2911</v>
      </c>
      <c r="D202" t="s">
        <v>91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2915</v>
      </c>
      <c r="S202" t="s">
        <v>2895</v>
      </c>
      <c r="T202" t="s">
        <v>579</v>
      </c>
      <c r="U202" t="s">
        <v>579</v>
      </c>
      <c r="V202">
        <f t="shared" si="6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2907</v>
      </c>
    </row>
    <row r="203" spans="1:30">
      <c r="A203" s="8" t="s">
        <v>2883</v>
      </c>
      <c r="B203" t="s">
        <v>2906</v>
      </c>
      <c r="C203" s="2" t="s">
        <v>2912</v>
      </c>
      <c r="D203" t="s">
        <v>91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6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2907</v>
      </c>
    </row>
    <row r="204" spans="1:30">
      <c r="A204" s="8" t="s">
        <v>2896</v>
      </c>
      <c r="B204" t="s">
        <v>2921</v>
      </c>
      <c r="C204" s="2" t="s">
        <v>2916</v>
      </c>
      <c r="D204" t="s">
        <v>91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2893</v>
      </c>
      <c r="S204" t="s">
        <v>622</v>
      </c>
      <c r="T204" t="s">
        <v>622</v>
      </c>
      <c r="U204" t="s">
        <v>622</v>
      </c>
      <c r="V204">
        <f t="shared" si="6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2920</v>
      </c>
    </row>
    <row r="205" spans="1:30">
      <c r="A205" s="8" t="s">
        <v>2897</v>
      </c>
      <c r="B205" t="s">
        <v>2310</v>
      </c>
      <c r="C205" s="2" t="s">
        <v>2917</v>
      </c>
      <c r="D205" t="s">
        <v>91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2893</v>
      </c>
      <c r="S205" t="s">
        <v>2893</v>
      </c>
      <c r="T205" t="s">
        <v>622</v>
      </c>
      <c r="U205" t="s">
        <v>622</v>
      </c>
      <c r="V205">
        <f t="shared" si="6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2920</v>
      </c>
    </row>
    <row r="206" spans="1:30">
      <c r="A206" s="8" t="s">
        <v>2898</v>
      </c>
      <c r="B206" t="s">
        <v>2903</v>
      </c>
      <c r="C206" s="2" t="s">
        <v>2918</v>
      </c>
      <c r="D206" t="s">
        <v>91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6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2920</v>
      </c>
    </row>
    <row r="207" spans="1:30">
      <c r="A207" s="8" t="s">
        <v>2899</v>
      </c>
      <c r="B207" t="s">
        <v>2903</v>
      </c>
      <c r="C207" s="2" t="s">
        <v>2145</v>
      </c>
      <c r="D207" t="s">
        <v>91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6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2920</v>
      </c>
    </row>
    <row r="208" spans="1:30">
      <c r="A208" s="8" t="s">
        <v>2900</v>
      </c>
      <c r="B208" t="s">
        <v>2903</v>
      </c>
      <c r="C208" s="2" t="s">
        <v>2144</v>
      </c>
      <c r="D208" t="s">
        <v>91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6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2920</v>
      </c>
    </row>
    <row r="209" spans="1:30">
      <c r="A209" s="8" t="s">
        <v>2901</v>
      </c>
      <c r="B209" t="s">
        <v>2903</v>
      </c>
      <c r="C209" s="2" t="s">
        <v>2919</v>
      </c>
      <c r="D209" t="s">
        <v>91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6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2920</v>
      </c>
    </row>
    <row r="210" spans="1:30">
      <c r="A210" s="2" t="s">
        <v>1600</v>
      </c>
      <c r="B210" t="s">
        <v>203</v>
      </c>
      <c r="C210" t="s">
        <v>2853</v>
      </c>
      <c r="D210" t="s">
        <v>91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219</v>
      </c>
      <c r="V210">
        <f t="shared" ref="V210:V241" si="7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1601</v>
      </c>
      <c r="B211" t="s">
        <v>203</v>
      </c>
      <c r="C211" t="s">
        <v>1560</v>
      </c>
      <c r="D211" t="s">
        <v>91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219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1602</v>
      </c>
      <c r="B212" t="s">
        <v>203</v>
      </c>
      <c r="C212" t="s">
        <v>1561</v>
      </c>
      <c r="D212" t="s">
        <v>91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219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1603</v>
      </c>
      <c r="B213" t="s">
        <v>203</v>
      </c>
      <c r="C213" t="s">
        <v>1562</v>
      </c>
      <c r="D213" t="s">
        <v>91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219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1604</v>
      </c>
      <c r="B214" t="s">
        <v>203</v>
      </c>
      <c r="C214" t="s">
        <v>1563</v>
      </c>
      <c r="D214" t="s">
        <v>91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219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1605</v>
      </c>
      <c r="B215" t="s">
        <v>208</v>
      </c>
      <c r="C215" t="s">
        <v>1564</v>
      </c>
      <c r="D215" t="s">
        <v>91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231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1606</v>
      </c>
      <c r="B216" t="s">
        <v>206</v>
      </c>
      <c r="C216" t="s">
        <v>1565</v>
      </c>
      <c r="D216" t="s">
        <v>91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227</v>
      </c>
      <c r="S216" t="s">
        <v>226</v>
      </c>
      <c r="T216" t="s">
        <v>230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1607</v>
      </c>
      <c r="B217" t="s">
        <v>203</v>
      </c>
      <c r="C217" t="s">
        <v>1566</v>
      </c>
      <c r="D217" t="s">
        <v>91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1608</v>
      </c>
      <c r="B218" t="s">
        <v>203</v>
      </c>
      <c r="C218" t="s">
        <v>1567</v>
      </c>
      <c r="D218" t="s">
        <v>91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1609</v>
      </c>
      <c r="B219" t="s">
        <v>203</v>
      </c>
      <c r="C219" t="s">
        <v>1568</v>
      </c>
      <c r="D219" t="s">
        <v>91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219</v>
      </c>
      <c r="S219" t="s">
        <v>232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1610</v>
      </c>
      <c r="B220" t="s">
        <v>203</v>
      </c>
      <c r="C220" t="s">
        <v>1569</v>
      </c>
      <c r="D220" t="s">
        <v>91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219</v>
      </c>
      <c r="S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1611</v>
      </c>
      <c r="B221" t="s">
        <v>203</v>
      </c>
      <c r="C221" t="s">
        <v>1570</v>
      </c>
      <c r="D221" t="s">
        <v>91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219</v>
      </c>
      <c r="S221" t="s">
        <v>232</v>
      </c>
      <c r="V221">
        <f t="shared" si="7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1612</v>
      </c>
      <c r="B222" t="s">
        <v>206</v>
      </c>
      <c r="C222" t="s">
        <v>1565</v>
      </c>
      <c r="D222" t="s">
        <v>91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227</v>
      </c>
      <c r="S222" t="s">
        <v>226</v>
      </c>
      <c r="T222" t="s">
        <v>230</v>
      </c>
      <c r="V222">
        <f t="shared" si="7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1613</v>
      </c>
      <c r="B223" t="s">
        <v>206</v>
      </c>
      <c r="C223" t="s">
        <v>1571</v>
      </c>
      <c r="D223" t="s">
        <v>91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227</v>
      </c>
      <c r="S223" t="s">
        <v>226</v>
      </c>
      <c r="T223" t="s">
        <v>230</v>
      </c>
      <c r="V223">
        <f t="shared" si="7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1614</v>
      </c>
      <c r="B224" t="s">
        <v>206</v>
      </c>
      <c r="C224" t="s">
        <v>1572</v>
      </c>
      <c r="D224" t="s">
        <v>91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227</v>
      </c>
      <c r="S224" t="s">
        <v>226</v>
      </c>
      <c r="T224" t="s">
        <v>230</v>
      </c>
      <c r="V224">
        <f t="shared" si="7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1615</v>
      </c>
      <c r="B225" t="s">
        <v>204</v>
      </c>
      <c r="C225" t="s">
        <v>1573</v>
      </c>
      <c r="D225" t="s">
        <v>91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224</v>
      </c>
      <c r="S225" t="s">
        <v>231</v>
      </c>
      <c r="V225">
        <f t="shared" si="7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1616</v>
      </c>
      <c r="B226" t="s">
        <v>204</v>
      </c>
      <c r="C226" t="s">
        <v>1574</v>
      </c>
      <c r="D226" t="s">
        <v>91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224</v>
      </c>
      <c r="S226" t="s">
        <v>231</v>
      </c>
      <c r="V226">
        <f t="shared" si="7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1617</v>
      </c>
      <c r="B227" t="s">
        <v>204</v>
      </c>
      <c r="C227" t="s">
        <v>1575</v>
      </c>
      <c r="D227" t="s">
        <v>91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224</v>
      </c>
      <c r="S227" t="s">
        <v>231</v>
      </c>
      <c r="V227">
        <f t="shared" si="7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1618</v>
      </c>
      <c r="B228" t="s">
        <v>21</v>
      </c>
      <c r="C228" t="s">
        <v>1576</v>
      </c>
      <c r="D228" t="s">
        <v>91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1665</v>
      </c>
      <c r="S228" t="s">
        <v>1664</v>
      </c>
      <c r="T228" t="s">
        <v>1663</v>
      </c>
      <c r="V228">
        <f t="shared" si="7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1619</v>
      </c>
      <c r="B229" t="s">
        <v>206</v>
      </c>
      <c r="C229" t="s">
        <v>1565</v>
      </c>
      <c r="D229" t="s">
        <v>91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227</v>
      </c>
      <c r="S229" t="s">
        <v>226</v>
      </c>
      <c r="T229" t="s">
        <v>230</v>
      </c>
      <c r="V229">
        <f t="shared" si="7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1620</v>
      </c>
      <c r="B230" t="s">
        <v>206</v>
      </c>
      <c r="C230" t="s">
        <v>1571</v>
      </c>
      <c r="D230" t="s">
        <v>91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227</v>
      </c>
      <c r="S230" t="s">
        <v>226</v>
      </c>
      <c r="T230" t="s">
        <v>230</v>
      </c>
      <c r="V230">
        <f t="shared" si="7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1621</v>
      </c>
      <c r="B231" t="s">
        <v>206</v>
      </c>
      <c r="C231" t="s">
        <v>1572</v>
      </c>
      <c r="D231" t="s">
        <v>91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227</v>
      </c>
      <c r="S231" t="s">
        <v>226</v>
      </c>
      <c r="T231" t="s">
        <v>230</v>
      </c>
      <c r="V231">
        <f t="shared" si="7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1622</v>
      </c>
      <c r="B232" t="s">
        <v>203</v>
      </c>
      <c r="C232" t="s">
        <v>1577</v>
      </c>
      <c r="D232" t="s">
        <v>91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220</v>
      </c>
      <c r="S232" t="s">
        <v>233</v>
      </c>
      <c r="V232">
        <f t="shared" si="7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1623</v>
      </c>
      <c r="B233" t="s">
        <v>203</v>
      </c>
      <c r="C233" t="s">
        <v>1578</v>
      </c>
      <c r="D233" t="s">
        <v>91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220</v>
      </c>
      <c r="S233" t="s">
        <v>233</v>
      </c>
      <c r="V233">
        <f t="shared" si="7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1624</v>
      </c>
      <c r="B234" t="s">
        <v>206</v>
      </c>
      <c r="C234" t="s">
        <v>1579</v>
      </c>
      <c r="D234" t="s">
        <v>91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226</v>
      </c>
      <c r="S234" t="s">
        <v>226</v>
      </c>
      <c r="T234" t="s">
        <v>230</v>
      </c>
      <c r="V234">
        <f t="shared" si="7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1625</v>
      </c>
      <c r="B235" t="s">
        <v>205</v>
      </c>
      <c r="C235" t="s">
        <v>1580</v>
      </c>
      <c r="D235" t="s">
        <v>91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222</v>
      </c>
      <c r="S235" t="s">
        <v>231</v>
      </c>
      <c r="T235" t="s">
        <v>231</v>
      </c>
      <c r="V235">
        <f t="shared" si="7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1626</v>
      </c>
      <c r="B236" t="s">
        <v>203</v>
      </c>
      <c r="C236" t="s">
        <v>1581</v>
      </c>
      <c r="D236" t="s">
        <v>91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219</v>
      </c>
      <c r="S236" t="s">
        <v>232</v>
      </c>
      <c r="V236">
        <f t="shared" si="7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1627</v>
      </c>
      <c r="B237" t="s">
        <v>203</v>
      </c>
      <c r="C237" t="s">
        <v>1581</v>
      </c>
      <c r="D237" t="s">
        <v>91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219</v>
      </c>
      <c r="S237" t="s">
        <v>232</v>
      </c>
      <c r="V237">
        <f t="shared" si="7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1628</v>
      </c>
      <c r="B238" t="s">
        <v>203</v>
      </c>
      <c r="C238" t="s">
        <v>1581</v>
      </c>
      <c r="D238" t="s">
        <v>91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219</v>
      </c>
      <c r="S238" t="s">
        <v>232</v>
      </c>
      <c r="V238">
        <f t="shared" si="7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1629</v>
      </c>
      <c r="B239" t="s">
        <v>203</v>
      </c>
      <c r="C239" t="s">
        <v>1581</v>
      </c>
      <c r="D239" t="s">
        <v>91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219</v>
      </c>
      <c r="S239" t="s">
        <v>232</v>
      </c>
      <c r="V239">
        <f t="shared" si="7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1630</v>
      </c>
      <c r="B240" t="s">
        <v>206</v>
      </c>
      <c r="C240" t="s">
        <v>1579</v>
      </c>
      <c r="D240" t="s">
        <v>91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227</v>
      </c>
      <c r="S240" t="s">
        <v>227</v>
      </c>
      <c r="T240" t="s">
        <v>243</v>
      </c>
      <c r="U240" t="s">
        <v>247</v>
      </c>
      <c r="V240">
        <f t="shared" si="7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1631</v>
      </c>
      <c r="B241" t="s">
        <v>205</v>
      </c>
      <c r="C241" t="s">
        <v>1580</v>
      </c>
      <c r="D241" t="s">
        <v>91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224</v>
      </c>
      <c r="S241" t="s">
        <v>232</v>
      </c>
      <c r="T241" t="s">
        <v>232</v>
      </c>
      <c r="V241">
        <f t="shared" si="7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1632</v>
      </c>
      <c r="B242" t="s">
        <v>203</v>
      </c>
      <c r="C242" t="s">
        <v>1581</v>
      </c>
      <c r="D242" t="s">
        <v>91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233</v>
      </c>
      <c r="S242" t="s">
        <v>220</v>
      </c>
      <c r="V242">
        <f t="shared" ref="V242:V269" si="8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1633</v>
      </c>
      <c r="B243" t="s">
        <v>203</v>
      </c>
      <c r="C243" t="s">
        <v>1581</v>
      </c>
      <c r="D243" t="s">
        <v>91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233</v>
      </c>
      <c r="S243" t="s">
        <v>220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1634</v>
      </c>
      <c r="B244" t="s">
        <v>208</v>
      </c>
      <c r="C244" t="s">
        <v>1582</v>
      </c>
      <c r="D244" t="s">
        <v>91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233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1635</v>
      </c>
      <c r="B245" t="s">
        <v>208</v>
      </c>
      <c r="C245" t="s">
        <v>1582</v>
      </c>
      <c r="D245" t="s">
        <v>91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233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1636</v>
      </c>
      <c r="B246" t="s">
        <v>90</v>
      </c>
      <c r="C246" t="s">
        <v>2854</v>
      </c>
      <c r="D246" t="s">
        <v>91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1660</v>
      </c>
      <c r="S246" t="s">
        <v>1661</v>
      </c>
      <c r="T246" t="s">
        <v>1662</v>
      </c>
      <c r="V246">
        <f t="shared" si="8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1637</v>
      </c>
      <c r="B247" t="s">
        <v>205</v>
      </c>
      <c r="C247" t="s">
        <v>1583</v>
      </c>
      <c r="D247" t="s">
        <v>91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223</v>
      </c>
      <c r="S247" t="s">
        <v>231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1638</v>
      </c>
      <c r="B248" t="s">
        <v>205</v>
      </c>
      <c r="C248" t="s">
        <v>1584</v>
      </c>
      <c r="D248" t="s">
        <v>91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223</v>
      </c>
      <c r="S248" t="s">
        <v>231</v>
      </c>
      <c r="V248">
        <f t="shared" si="8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1639</v>
      </c>
      <c r="B249" t="s">
        <v>205</v>
      </c>
      <c r="C249" t="s">
        <v>1585</v>
      </c>
      <c r="D249" t="s">
        <v>91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223</v>
      </c>
      <c r="S249" t="s">
        <v>231</v>
      </c>
      <c r="V249">
        <f t="shared" si="8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1640</v>
      </c>
      <c r="B250" t="s">
        <v>205</v>
      </c>
      <c r="C250" t="s">
        <v>1586</v>
      </c>
      <c r="D250" t="s">
        <v>91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223</v>
      </c>
      <c r="S250" t="s">
        <v>231</v>
      </c>
      <c r="V250">
        <f t="shared" si="8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1641</v>
      </c>
      <c r="B251" t="s">
        <v>203</v>
      </c>
      <c r="C251" t="s">
        <v>1587</v>
      </c>
      <c r="D251" t="s">
        <v>91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219</v>
      </c>
      <c r="V251">
        <f t="shared" si="8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1642</v>
      </c>
      <c r="B252" t="s">
        <v>21</v>
      </c>
      <c r="C252" t="s">
        <v>1588</v>
      </c>
      <c r="D252" t="s">
        <v>91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1665</v>
      </c>
      <c r="S252" t="s">
        <v>1664</v>
      </c>
      <c r="T252" t="s">
        <v>1663</v>
      </c>
      <c r="V252">
        <f t="shared" si="8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1643</v>
      </c>
      <c r="B253" t="s">
        <v>21</v>
      </c>
      <c r="C253" t="s">
        <v>1589</v>
      </c>
      <c r="D253" t="s">
        <v>91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1665</v>
      </c>
      <c r="S253" t="s">
        <v>1664</v>
      </c>
      <c r="T253" t="s">
        <v>1663</v>
      </c>
      <c r="V253">
        <f t="shared" si="8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1644</v>
      </c>
      <c r="B254" t="s">
        <v>205</v>
      </c>
      <c r="C254" t="s">
        <v>1590</v>
      </c>
      <c r="D254" t="s">
        <v>91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223</v>
      </c>
      <c r="S254" t="s">
        <v>224</v>
      </c>
      <c r="T254" t="s">
        <v>233</v>
      </c>
      <c r="U254" t="s">
        <v>243</v>
      </c>
      <c r="V254">
        <f t="shared" si="8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1645</v>
      </c>
      <c r="B255" t="s">
        <v>205</v>
      </c>
      <c r="C255" t="s">
        <v>1591</v>
      </c>
      <c r="D255" t="s">
        <v>91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223</v>
      </c>
      <c r="S255" t="s">
        <v>224</v>
      </c>
      <c r="T255" t="s">
        <v>233</v>
      </c>
      <c r="U255" t="s">
        <v>243</v>
      </c>
      <c r="V255">
        <f t="shared" si="8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1646</v>
      </c>
      <c r="B256" t="s">
        <v>203</v>
      </c>
      <c r="C256" t="s">
        <v>1592</v>
      </c>
      <c r="D256" t="s">
        <v>91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219</v>
      </c>
      <c r="S256" t="s">
        <v>232</v>
      </c>
      <c r="V256">
        <f t="shared" si="8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1647</v>
      </c>
      <c r="B257" t="s">
        <v>203</v>
      </c>
      <c r="C257" t="s">
        <v>1593</v>
      </c>
      <c r="D257" t="s">
        <v>91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219</v>
      </c>
      <c r="S257" t="s">
        <v>232</v>
      </c>
      <c r="V257">
        <f t="shared" si="8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1648</v>
      </c>
      <c r="B258" t="s">
        <v>205</v>
      </c>
      <c r="C258" t="s">
        <v>2855</v>
      </c>
      <c r="D258" t="s">
        <v>91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223</v>
      </c>
      <c r="S258" t="s">
        <v>231</v>
      </c>
      <c r="V258">
        <f t="shared" si="8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1649</v>
      </c>
      <c r="B259" t="s">
        <v>205</v>
      </c>
      <c r="C259" t="s">
        <v>1595</v>
      </c>
      <c r="D259" t="s">
        <v>91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223</v>
      </c>
      <c r="S259" t="s">
        <v>231</v>
      </c>
      <c r="V259">
        <f t="shared" si="8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1650</v>
      </c>
      <c r="B260" t="s">
        <v>205</v>
      </c>
      <c r="C260" t="s">
        <v>1596</v>
      </c>
      <c r="D260" t="s">
        <v>91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223</v>
      </c>
      <c r="S260" t="s">
        <v>231</v>
      </c>
      <c r="V260">
        <f t="shared" si="8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1651</v>
      </c>
      <c r="B261" t="s">
        <v>203</v>
      </c>
      <c r="C261" t="s">
        <v>1597</v>
      </c>
      <c r="D261" t="s">
        <v>91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219</v>
      </c>
      <c r="S261" t="s">
        <v>232</v>
      </c>
      <c r="T261" t="s">
        <v>261</v>
      </c>
      <c r="V261">
        <f t="shared" si="8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1652</v>
      </c>
      <c r="B262" t="s">
        <v>206</v>
      </c>
      <c r="C262" t="s">
        <v>1576</v>
      </c>
      <c r="D262" t="s">
        <v>91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226</v>
      </c>
      <c r="S262" t="s">
        <v>226</v>
      </c>
      <c r="T262" t="s">
        <v>230</v>
      </c>
      <c r="V262">
        <f t="shared" si="8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1653</v>
      </c>
      <c r="B263" t="s">
        <v>203</v>
      </c>
      <c r="C263" t="s">
        <v>1598</v>
      </c>
      <c r="D263" t="s">
        <v>91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219</v>
      </c>
      <c r="S263" t="s">
        <v>232</v>
      </c>
      <c r="T263" t="s">
        <v>261</v>
      </c>
      <c r="V263">
        <f t="shared" si="8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1654</v>
      </c>
      <c r="B264" t="s">
        <v>205</v>
      </c>
      <c r="C264" t="s">
        <v>1594</v>
      </c>
      <c r="D264" t="s">
        <v>91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223</v>
      </c>
      <c r="S264" t="s">
        <v>224</v>
      </c>
      <c r="T264" t="s">
        <v>233</v>
      </c>
      <c r="U264" t="s">
        <v>243</v>
      </c>
      <c r="V264">
        <f t="shared" si="8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1655</v>
      </c>
      <c r="B265" t="s">
        <v>205</v>
      </c>
      <c r="C265" t="s">
        <v>1595</v>
      </c>
      <c r="D265" t="s">
        <v>91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223</v>
      </c>
      <c r="S265" t="s">
        <v>224</v>
      </c>
      <c r="T265" t="s">
        <v>233</v>
      </c>
      <c r="U265" t="s">
        <v>243</v>
      </c>
      <c r="V265">
        <f t="shared" si="8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1656</v>
      </c>
      <c r="B266" t="s">
        <v>205</v>
      </c>
      <c r="C266" t="s">
        <v>1596</v>
      </c>
      <c r="D266" t="s">
        <v>91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223</v>
      </c>
      <c r="S266" t="s">
        <v>224</v>
      </c>
      <c r="T266" t="s">
        <v>233</v>
      </c>
      <c r="U266" t="s">
        <v>243</v>
      </c>
      <c r="V266">
        <f t="shared" si="8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1657</v>
      </c>
      <c r="B267" t="s">
        <v>203</v>
      </c>
      <c r="C267" t="s">
        <v>1597</v>
      </c>
      <c r="D267" t="s">
        <v>91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220</v>
      </c>
      <c r="S267" t="s">
        <v>233</v>
      </c>
      <c r="T267" t="s">
        <v>260</v>
      </c>
      <c r="V267">
        <f t="shared" si="8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1658</v>
      </c>
      <c r="B268" t="s">
        <v>203</v>
      </c>
      <c r="C268" t="s">
        <v>1598</v>
      </c>
      <c r="D268" t="s">
        <v>91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220</v>
      </c>
      <c r="S268" t="s">
        <v>233</v>
      </c>
      <c r="T268" t="s">
        <v>260</v>
      </c>
      <c r="V268">
        <f t="shared" si="8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1659</v>
      </c>
      <c r="B269" t="s">
        <v>204</v>
      </c>
      <c r="C269" t="s">
        <v>1599</v>
      </c>
      <c r="D269" t="s">
        <v>91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224</v>
      </c>
      <c r="S269" t="s">
        <v>232</v>
      </c>
      <c r="T269" t="s">
        <v>260</v>
      </c>
      <c r="V269">
        <f t="shared" si="8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6 A16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D28" sqref="D28"/>
    </sheetView>
  </sheetViews>
  <sheetFormatPr baseColWidth="10" defaultColWidth="8.83203125" defaultRowHeight="15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>
      <c r="A9" s="2" t="s">
        <v>321</v>
      </c>
      <c r="B9" t="s">
        <v>483</v>
      </c>
      <c r="C9" t="s">
        <v>2489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>
      <c r="A23" s="2" t="s">
        <v>335</v>
      </c>
      <c r="B23" t="s">
        <v>217</v>
      </c>
      <c r="C23" t="s">
        <v>2312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>
      <c r="A25" s="2" t="s">
        <v>337</v>
      </c>
      <c r="B25" t="s">
        <v>293</v>
      </c>
      <c r="C25" t="s">
        <v>1663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2352</v>
      </c>
      <c r="I11" s="2" t="s">
        <v>2352</v>
      </c>
      <c r="J11" s="2" t="s">
        <v>2353</v>
      </c>
      <c r="K11" s="2" t="s">
        <v>445</v>
      </c>
      <c r="L11" s="2" t="s">
        <v>2354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2355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2356</v>
      </c>
      <c r="J12" s="2" t="s">
        <v>465</v>
      </c>
      <c r="K12" s="2" t="s">
        <v>445</v>
      </c>
      <c r="L12" s="2" t="s">
        <v>2353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2354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2352</v>
      </c>
      <c r="J13" s="2" t="s">
        <v>2352</v>
      </c>
      <c r="K13" s="2" t="s">
        <v>445</v>
      </c>
      <c r="L13" s="2" t="s">
        <v>2356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2357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2358</v>
      </c>
      <c r="J14" s="2" t="s">
        <v>461</v>
      </c>
      <c r="K14" s="2" t="s">
        <v>2353</v>
      </c>
      <c r="L14" s="2" t="s">
        <v>2356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2359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2358</v>
      </c>
      <c r="I15" s="2" t="s">
        <v>347</v>
      </c>
      <c r="J15" s="2" t="s">
        <v>2352</v>
      </c>
      <c r="K15" s="2" t="s">
        <v>2352</v>
      </c>
      <c r="L15" s="2" t="s">
        <v>2353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2360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2352</v>
      </c>
      <c r="J16" s="2" t="s">
        <v>347</v>
      </c>
      <c r="K16" s="2" t="s">
        <v>2353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2361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2352</v>
      </c>
      <c r="K17" s="2" t="s">
        <v>2352</v>
      </c>
      <c r="L17" s="2" t="s">
        <v>2356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2362</v>
      </c>
      <c r="B18" s="2" t="s">
        <v>71</v>
      </c>
      <c r="C18" s="2" t="s">
        <v>2363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2364</v>
      </c>
      <c r="B19" s="2" t="s">
        <v>3</v>
      </c>
      <c r="C19" s="2" t="s">
        <v>2363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2365</v>
      </c>
      <c r="B20" s="2" t="s">
        <v>2366</v>
      </c>
      <c r="C20" s="2" t="s">
        <v>2363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2367</v>
      </c>
      <c r="B21" s="2" t="s">
        <v>2368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2353</v>
      </c>
      <c r="K21" s="2" t="s">
        <v>2353</v>
      </c>
      <c r="L21" s="2" t="s">
        <v>2353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2369</v>
      </c>
      <c r="B22" s="2" t="s">
        <v>2370</v>
      </c>
      <c r="C22" s="2" t="s">
        <v>2126</v>
      </c>
      <c r="D22" s="3">
        <v>3</v>
      </c>
      <c r="E22" s="3">
        <v>0</v>
      </c>
      <c r="F22" s="20">
        <v>1</v>
      </c>
      <c r="G22" s="2" t="s">
        <v>2371</v>
      </c>
      <c r="H22" s="2" t="s">
        <v>2358</v>
      </c>
      <c r="I22" s="2" t="s">
        <v>2358</v>
      </c>
      <c r="J22" s="2" t="s">
        <v>347</v>
      </c>
      <c r="K22" s="2" t="s">
        <v>347</v>
      </c>
      <c r="L22" s="2" t="s">
        <v>2353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2372</v>
      </c>
      <c r="B23" s="2" t="s">
        <v>2373</v>
      </c>
      <c r="C23" s="2" t="s">
        <v>2126</v>
      </c>
      <c r="D23" s="3">
        <v>5</v>
      </c>
      <c r="E23" s="3">
        <v>0</v>
      </c>
      <c r="F23" s="20">
        <v>4</v>
      </c>
      <c r="G23" s="2" t="s">
        <v>2374</v>
      </c>
      <c r="H23" s="2" t="s">
        <v>2294</v>
      </c>
      <c r="I23" s="2" t="s">
        <v>2297</v>
      </c>
      <c r="J23" s="2" t="s">
        <v>2299</v>
      </c>
      <c r="K23" s="2" t="s">
        <v>2375</v>
      </c>
      <c r="L23" s="2" t="s">
        <v>2376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2377</v>
      </c>
      <c r="B24" s="2" t="s">
        <v>2373</v>
      </c>
      <c r="C24" s="2" t="s">
        <v>2126</v>
      </c>
      <c r="D24" s="3">
        <v>5</v>
      </c>
      <c r="E24" s="3">
        <v>0</v>
      </c>
      <c r="F24" s="20">
        <v>4</v>
      </c>
      <c r="G24" s="2" t="s">
        <v>2374</v>
      </c>
      <c r="H24" s="2" t="s">
        <v>2378</v>
      </c>
      <c r="I24" s="2" t="s">
        <v>2297</v>
      </c>
      <c r="J24" s="2" t="s">
        <v>2299</v>
      </c>
      <c r="K24" s="2" t="s">
        <v>2379</v>
      </c>
      <c r="L24" s="2" t="s">
        <v>2376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2380</v>
      </c>
      <c r="B25" s="2" t="s">
        <v>2373</v>
      </c>
      <c r="C25" s="2" t="s">
        <v>2126</v>
      </c>
      <c r="D25" s="3">
        <v>5</v>
      </c>
      <c r="E25" s="3">
        <v>0</v>
      </c>
      <c r="F25" s="20">
        <v>4</v>
      </c>
      <c r="G25" s="2" t="s">
        <v>2374</v>
      </c>
      <c r="H25" s="2" t="s">
        <v>2378</v>
      </c>
      <c r="I25" s="2" t="s">
        <v>2297</v>
      </c>
      <c r="J25" s="2" t="s">
        <v>2299</v>
      </c>
      <c r="K25" s="2" t="s">
        <v>2379</v>
      </c>
      <c r="L25" s="2" t="s">
        <v>2376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2026-04-16T15:38:27Z</dcterms:modified>
</cp:coreProperties>
</file>